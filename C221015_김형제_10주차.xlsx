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space\홍익대학교\3학년 1학기\데이터기반최적화\"/>
    </mc:Choice>
  </mc:AlternateContent>
  <xr:revisionPtr revIDLastSave="0" documentId="13_ncr:1_{C74A8C64-AB76-4135-938D-C10E5B49C3A9}" xr6:coauthVersionLast="47" xr6:coauthVersionMax="47" xr10:uidLastSave="{00000000-0000-0000-0000-000000000000}"/>
  <bookViews>
    <workbookView xWindow="10480" yWindow="80" windowWidth="15210" windowHeight="11280" activeTab="1" xr2:uid="{00000000-000D-0000-FFFF-FFFF00000000}"/>
  </bookViews>
  <sheets>
    <sheet name="1.표작성" sheetId="1" r:id="rId1"/>
    <sheet name="10.1" sheetId="2" r:id="rId2"/>
    <sheet name="10.2" sheetId="3" r:id="rId3"/>
    <sheet name="10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2" l="1"/>
  <c r="R24" i="2"/>
  <c r="R23" i="2"/>
  <c r="R22" i="2"/>
  <c r="R21" i="2"/>
  <c r="R20" i="2"/>
  <c r="R19" i="2"/>
  <c r="R18" i="2"/>
  <c r="D14" i="1"/>
  <c r="D13" i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J153" i="4" s="1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J161" i="4" s="1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J169" i="4" s="1"/>
  <c r="I170" i="4"/>
  <c r="J170" i="4" s="1"/>
  <c r="I171" i="4"/>
  <c r="J171" i="4" s="1"/>
  <c r="I172" i="4"/>
  <c r="J172" i="4" s="1"/>
  <c r="I173" i="4"/>
  <c r="J173" i="4" s="1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J180" i="4" s="1"/>
  <c r="I181" i="4"/>
  <c r="J181" i="4" s="1"/>
  <c r="I182" i="4"/>
  <c r="J182" i="4" s="1"/>
  <c r="I183" i="4"/>
  <c r="J183" i="4" s="1"/>
  <c r="I184" i="4"/>
  <c r="J184" i="4" s="1"/>
  <c r="I185" i="4"/>
  <c r="J185" i="4" s="1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 s="1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 s="1"/>
  <c r="I200" i="4"/>
  <c r="J200" i="4" s="1"/>
  <c r="I201" i="4"/>
  <c r="J201" i="4" s="1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J217" i="4" s="1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 s="1"/>
  <c r="I224" i="4"/>
  <c r="J224" i="4" s="1"/>
  <c r="I225" i="4"/>
  <c r="J225" i="4" s="1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 s="1"/>
  <c r="I240" i="4"/>
  <c r="J240" i="4" s="1"/>
  <c r="I241" i="4"/>
  <c r="J241" i="4" s="1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J249" i="4" s="1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 s="1"/>
  <c r="I256" i="4"/>
  <c r="J256" i="4" s="1"/>
  <c r="I257" i="4"/>
  <c r="J257" i="4" s="1"/>
  <c r="I258" i="4"/>
  <c r="J258" i="4" s="1"/>
  <c r="I259" i="4"/>
  <c r="J259" i="4" s="1"/>
  <c r="I260" i="4"/>
  <c r="J260" i="4" s="1"/>
  <c r="I261" i="4"/>
  <c r="J261" i="4" s="1"/>
  <c r="I262" i="4"/>
  <c r="J262" i="4" s="1"/>
  <c r="I263" i="4"/>
  <c r="J263" i="4" s="1"/>
  <c r="I264" i="4"/>
  <c r="J264" i="4" s="1"/>
  <c r="I265" i="4"/>
  <c r="J265" i="4" s="1"/>
  <c r="I266" i="4"/>
  <c r="J266" i="4" s="1"/>
  <c r="I267" i="4"/>
  <c r="J267" i="4" s="1"/>
  <c r="I268" i="4"/>
  <c r="J268" i="4" s="1"/>
  <c r="I269" i="4"/>
  <c r="J269" i="4" s="1"/>
  <c r="I270" i="4"/>
  <c r="J270" i="4" s="1"/>
  <c r="I271" i="4"/>
  <c r="J271" i="4" s="1"/>
  <c r="I272" i="4"/>
  <c r="J272" i="4" s="1"/>
  <c r="I273" i="4"/>
  <c r="J273" i="4" s="1"/>
  <c r="I274" i="4"/>
  <c r="J274" i="4" s="1"/>
  <c r="I275" i="4"/>
  <c r="J275" i="4" s="1"/>
  <c r="I276" i="4"/>
  <c r="J276" i="4" s="1"/>
  <c r="I277" i="4"/>
  <c r="J277" i="4" s="1"/>
  <c r="I278" i="4"/>
  <c r="J278" i="4" s="1"/>
  <c r="I279" i="4"/>
  <c r="J279" i="4" s="1"/>
  <c r="I280" i="4"/>
  <c r="J280" i="4" s="1"/>
  <c r="I281" i="4"/>
  <c r="J281" i="4" s="1"/>
  <c r="I282" i="4"/>
  <c r="J282" i="4" s="1"/>
  <c r="I283" i="4"/>
  <c r="J283" i="4" s="1"/>
  <c r="I284" i="4"/>
  <c r="J284" i="4" s="1"/>
  <c r="I285" i="4"/>
  <c r="J285" i="4" s="1"/>
  <c r="I286" i="4"/>
  <c r="J286" i="4" s="1"/>
  <c r="I287" i="4"/>
  <c r="J287" i="4" s="1"/>
  <c r="I288" i="4"/>
  <c r="J288" i="4" s="1"/>
  <c r="I289" i="4"/>
  <c r="J289" i="4" s="1"/>
  <c r="I290" i="4"/>
  <c r="J290" i="4" s="1"/>
  <c r="I291" i="4"/>
  <c r="J291" i="4" s="1"/>
  <c r="I292" i="4"/>
  <c r="J292" i="4" s="1"/>
  <c r="I293" i="4"/>
  <c r="J293" i="4" s="1"/>
  <c r="I294" i="4"/>
  <c r="J294" i="4" s="1"/>
  <c r="I295" i="4"/>
  <c r="J295" i="4" s="1"/>
  <c r="I296" i="4"/>
  <c r="J296" i="4" s="1"/>
  <c r="I297" i="4"/>
  <c r="J297" i="4" s="1"/>
  <c r="I298" i="4"/>
  <c r="J298" i="4" s="1"/>
  <c r="I299" i="4"/>
  <c r="J299" i="4" s="1"/>
  <c r="I300" i="4"/>
  <c r="J300" i="4" s="1"/>
  <c r="I301" i="4"/>
  <c r="J301" i="4" s="1"/>
  <c r="I302" i="4"/>
  <c r="J302" i="4" s="1"/>
  <c r="I303" i="4"/>
  <c r="J303" i="4" s="1"/>
  <c r="I304" i="4"/>
  <c r="J304" i="4" s="1"/>
  <c r="I305" i="4"/>
  <c r="J305" i="4" s="1"/>
  <c r="I306" i="4"/>
  <c r="J306" i="4" s="1"/>
  <c r="I307" i="4"/>
  <c r="J307" i="4" s="1"/>
  <c r="I308" i="4"/>
  <c r="J308" i="4" s="1"/>
  <c r="I309" i="4"/>
  <c r="J309" i="4" s="1"/>
  <c r="I310" i="4"/>
  <c r="J310" i="4" s="1"/>
  <c r="I311" i="4"/>
  <c r="J311" i="4" s="1"/>
  <c r="I312" i="4"/>
  <c r="J312" i="4" s="1"/>
  <c r="I313" i="4"/>
  <c r="J313" i="4" s="1"/>
  <c r="I314" i="4"/>
  <c r="J314" i="4" s="1"/>
  <c r="I315" i="4"/>
  <c r="J315" i="4" s="1"/>
  <c r="I316" i="4"/>
  <c r="J316" i="4" s="1"/>
  <c r="I317" i="4"/>
  <c r="J317" i="4" s="1"/>
  <c r="I318" i="4"/>
  <c r="J318" i="4" s="1"/>
  <c r="I319" i="4"/>
  <c r="J319" i="4" s="1"/>
  <c r="I320" i="4"/>
  <c r="J320" i="4" s="1"/>
  <c r="I321" i="4"/>
  <c r="J321" i="4" s="1"/>
  <c r="I322" i="4"/>
  <c r="J322" i="4" s="1"/>
  <c r="I323" i="4"/>
  <c r="J323" i="4" s="1"/>
  <c r="I324" i="4"/>
  <c r="J324" i="4" s="1"/>
  <c r="I325" i="4"/>
  <c r="J325" i="4" s="1"/>
  <c r="I326" i="4"/>
  <c r="J326" i="4" s="1"/>
  <c r="I327" i="4"/>
  <c r="J327" i="4" s="1"/>
  <c r="I328" i="4"/>
  <c r="J328" i="4" s="1"/>
  <c r="I329" i="4"/>
  <c r="J329" i="4" s="1"/>
  <c r="I330" i="4"/>
  <c r="J330" i="4" s="1"/>
  <c r="I331" i="4"/>
  <c r="J331" i="4" s="1"/>
  <c r="I332" i="4"/>
  <c r="J332" i="4" s="1"/>
  <c r="I333" i="4"/>
  <c r="J333" i="4" s="1"/>
  <c r="I334" i="4"/>
  <c r="J334" i="4" s="1"/>
  <c r="I335" i="4"/>
  <c r="J335" i="4" s="1"/>
  <c r="I336" i="4"/>
  <c r="J336" i="4" s="1"/>
  <c r="I337" i="4"/>
  <c r="J337" i="4" s="1"/>
  <c r="I338" i="4"/>
  <c r="J338" i="4" s="1"/>
  <c r="I339" i="4"/>
  <c r="J339" i="4" s="1"/>
  <c r="I340" i="4"/>
  <c r="J340" i="4" s="1"/>
  <c r="I341" i="4"/>
  <c r="J341" i="4" s="1"/>
  <c r="I342" i="4"/>
  <c r="J342" i="4" s="1"/>
  <c r="I343" i="4"/>
  <c r="J343" i="4" s="1"/>
  <c r="I344" i="4"/>
  <c r="J344" i="4" s="1"/>
  <c r="I345" i="4"/>
  <c r="J345" i="4" s="1"/>
  <c r="I346" i="4"/>
  <c r="J346" i="4" s="1"/>
  <c r="I347" i="4"/>
  <c r="J347" i="4" s="1"/>
  <c r="I348" i="4"/>
  <c r="J348" i="4" s="1"/>
  <c r="I349" i="4"/>
  <c r="J349" i="4" s="1"/>
  <c r="I350" i="4"/>
  <c r="J350" i="4" s="1"/>
  <c r="I351" i="4"/>
  <c r="J351" i="4" s="1"/>
  <c r="I352" i="4"/>
  <c r="J352" i="4" s="1"/>
  <c r="I353" i="4"/>
  <c r="J353" i="4" s="1"/>
  <c r="I354" i="4"/>
  <c r="J354" i="4" s="1"/>
  <c r="I355" i="4"/>
  <c r="J355" i="4" s="1"/>
  <c r="I356" i="4"/>
  <c r="J356" i="4" s="1"/>
  <c r="I357" i="4"/>
  <c r="J357" i="4" s="1"/>
  <c r="I358" i="4"/>
  <c r="J358" i="4" s="1"/>
  <c r="I359" i="4"/>
  <c r="J359" i="4" s="1"/>
  <c r="I360" i="4"/>
  <c r="J360" i="4" s="1"/>
  <c r="I361" i="4"/>
  <c r="J361" i="4" s="1"/>
  <c r="I362" i="4"/>
  <c r="J362" i="4" s="1"/>
  <c r="I363" i="4"/>
  <c r="J363" i="4" s="1"/>
  <c r="I364" i="4"/>
  <c r="J364" i="4" s="1"/>
  <c r="I365" i="4"/>
  <c r="J365" i="4" s="1"/>
  <c r="I366" i="4"/>
  <c r="J366" i="4" s="1"/>
  <c r="I367" i="4"/>
  <c r="J367" i="4" s="1"/>
  <c r="I368" i="4"/>
  <c r="J368" i="4" s="1"/>
  <c r="I369" i="4"/>
  <c r="J369" i="4" s="1"/>
  <c r="I370" i="4"/>
  <c r="J370" i="4" s="1"/>
  <c r="I371" i="4"/>
  <c r="J371" i="4" s="1"/>
  <c r="I372" i="4"/>
  <c r="J372" i="4" s="1"/>
  <c r="I373" i="4"/>
  <c r="J373" i="4" s="1"/>
  <c r="I374" i="4"/>
  <c r="J374" i="4" s="1"/>
  <c r="I375" i="4"/>
  <c r="J375" i="4" s="1"/>
  <c r="I376" i="4"/>
  <c r="J376" i="4" s="1"/>
  <c r="I377" i="4"/>
  <c r="J377" i="4" s="1"/>
  <c r="I378" i="4"/>
  <c r="J378" i="4" s="1"/>
  <c r="I379" i="4"/>
  <c r="J379" i="4" s="1"/>
  <c r="I380" i="4"/>
  <c r="J380" i="4" s="1"/>
  <c r="I381" i="4"/>
  <c r="J381" i="4" s="1"/>
  <c r="I382" i="4"/>
  <c r="J382" i="4" s="1"/>
  <c r="I383" i="4"/>
  <c r="J383" i="4" s="1"/>
  <c r="I384" i="4"/>
  <c r="J384" i="4" s="1"/>
  <c r="I385" i="4"/>
  <c r="J385" i="4" s="1"/>
  <c r="I386" i="4"/>
  <c r="J386" i="4" s="1"/>
  <c r="I387" i="4"/>
  <c r="J387" i="4" s="1"/>
  <c r="I388" i="4"/>
  <c r="J388" i="4" s="1"/>
  <c r="I389" i="4"/>
  <c r="J389" i="4" s="1"/>
  <c r="I390" i="4"/>
  <c r="J390" i="4" s="1"/>
  <c r="I391" i="4"/>
  <c r="J391" i="4" s="1"/>
  <c r="I392" i="4"/>
  <c r="J392" i="4" s="1"/>
  <c r="I393" i="4"/>
  <c r="J393" i="4" s="1"/>
  <c r="I394" i="4"/>
  <c r="J394" i="4" s="1"/>
  <c r="I395" i="4"/>
  <c r="J395" i="4" s="1"/>
  <c r="I396" i="4"/>
  <c r="J396" i="4" s="1"/>
  <c r="I397" i="4"/>
  <c r="J397" i="4" s="1"/>
  <c r="I398" i="4"/>
  <c r="J398" i="4" s="1"/>
  <c r="I399" i="4"/>
  <c r="J399" i="4" s="1"/>
  <c r="I400" i="4"/>
  <c r="J400" i="4" s="1"/>
  <c r="I401" i="4"/>
  <c r="J401" i="4" s="1"/>
  <c r="I402" i="4"/>
  <c r="J402" i="4" s="1"/>
  <c r="I403" i="4"/>
  <c r="J403" i="4" s="1"/>
  <c r="I404" i="4"/>
  <c r="J404" i="4" s="1"/>
  <c r="I405" i="4"/>
  <c r="J405" i="4" s="1"/>
  <c r="I406" i="4"/>
  <c r="J406" i="4" s="1"/>
  <c r="I407" i="4"/>
  <c r="J407" i="4" s="1"/>
  <c r="I408" i="4"/>
  <c r="J408" i="4" s="1"/>
  <c r="I409" i="4"/>
  <c r="J409" i="4" s="1"/>
  <c r="I410" i="4"/>
  <c r="J410" i="4" s="1"/>
  <c r="I411" i="4"/>
  <c r="J411" i="4" s="1"/>
  <c r="I412" i="4"/>
  <c r="J412" i="4" s="1"/>
  <c r="I413" i="4"/>
  <c r="J413" i="4" s="1"/>
  <c r="I414" i="4"/>
  <c r="J414" i="4" s="1"/>
  <c r="I415" i="4"/>
  <c r="J415" i="4" s="1"/>
  <c r="I416" i="4"/>
  <c r="J416" i="4" s="1"/>
  <c r="I417" i="4"/>
  <c r="J417" i="4" s="1"/>
  <c r="I418" i="4"/>
  <c r="J418" i="4" s="1"/>
  <c r="I419" i="4"/>
  <c r="J419" i="4" s="1"/>
  <c r="I420" i="4"/>
  <c r="J420" i="4" s="1"/>
  <c r="I421" i="4"/>
  <c r="J421" i="4" s="1"/>
  <c r="I422" i="4"/>
  <c r="J422" i="4" s="1"/>
  <c r="I423" i="4"/>
  <c r="J423" i="4" s="1"/>
  <c r="I424" i="4"/>
  <c r="J424" i="4" s="1"/>
  <c r="I425" i="4"/>
  <c r="J425" i="4" s="1"/>
  <c r="I426" i="4"/>
  <c r="J426" i="4" s="1"/>
  <c r="I427" i="4"/>
  <c r="J427" i="4" s="1"/>
  <c r="I428" i="4"/>
  <c r="J428" i="4" s="1"/>
  <c r="I429" i="4"/>
  <c r="J429" i="4" s="1"/>
  <c r="I430" i="4"/>
  <c r="J430" i="4" s="1"/>
  <c r="I431" i="4"/>
  <c r="J431" i="4" s="1"/>
  <c r="I432" i="4"/>
  <c r="J432" i="4" s="1"/>
  <c r="I433" i="4"/>
  <c r="J433" i="4" s="1"/>
  <c r="I434" i="4"/>
  <c r="J434" i="4" s="1"/>
  <c r="I435" i="4"/>
  <c r="J435" i="4" s="1"/>
  <c r="I436" i="4"/>
  <c r="J436" i="4" s="1"/>
  <c r="I437" i="4"/>
  <c r="J437" i="4" s="1"/>
  <c r="I438" i="4"/>
  <c r="J438" i="4" s="1"/>
  <c r="I439" i="4"/>
  <c r="J439" i="4" s="1"/>
  <c r="I440" i="4"/>
  <c r="J440" i="4" s="1"/>
  <c r="I441" i="4"/>
  <c r="J441" i="4" s="1"/>
  <c r="I442" i="4"/>
  <c r="J442" i="4" s="1"/>
  <c r="I443" i="4"/>
  <c r="J443" i="4" s="1"/>
  <c r="I444" i="4"/>
  <c r="J444" i="4" s="1"/>
  <c r="I445" i="4"/>
  <c r="J445" i="4" s="1"/>
  <c r="I446" i="4"/>
  <c r="J446" i="4" s="1"/>
  <c r="I447" i="4"/>
  <c r="J447" i="4" s="1"/>
  <c r="I448" i="4"/>
  <c r="J448" i="4" s="1"/>
  <c r="I449" i="4"/>
  <c r="J449" i="4" s="1"/>
  <c r="I450" i="4"/>
  <c r="J450" i="4" s="1"/>
  <c r="I451" i="4"/>
  <c r="J451" i="4" s="1"/>
  <c r="I452" i="4"/>
  <c r="J452" i="4" s="1"/>
  <c r="I453" i="4"/>
  <c r="J453" i="4" s="1"/>
  <c r="I454" i="4"/>
  <c r="J454" i="4" s="1"/>
  <c r="I455" i="4"/>
  <c r="J455" i="4" s="1"/>
  <c r="I456" i="4"/>
  <c r="J456" i="4" s="1"/>
  <c r="I457" i="4"/>
  <c r="J457" i="4" s="1"/>
  <c r="I458" i="4"/>
  <c r="J458" i="4" s="1"/>
  <c r="I459" i="4"/>
  <c r="J459" i="4" s="1"/>
  <c r="I460" i="4"/>
  <c r="J460" i="4" s="1"/>
  <c r="I461" i="4"/>
  <c r="J461" i="4" s="1"/>
  <c r="I462" i="4"/>
  <c r="J462" i="4" s="1"/>
  <c r="I463" i="4"/>
  <c r="J463" i="4" s="1"/>
  <c r="I464" i="4"/>
  <c r="J464" i="4" s="1"/>
  <c r="I465" i="4"/>
  <c r="J465" i="4" s="1"/>
  <c r="I466" i="4"/>
  <c r="J466" i="4" s="1"/>
  <c r="I467" i="4"/>
  <c r="J467" i="4" s="1"/>
  <c r="I468" i="4"/>
  <c r="J468" i="4" s="1"/>
  <c r="I469" i="4"/>
  <c r="J469" i="4" s="1"/>
  <c r="I470" i="4"/>
  <c r="J470" i="4" s="1"/>
  <c r="I471" i="4"/>
  <c r="J471" i="4" s="1"/>
  <c r="I472" i="4"/>
  <c r="J472" i="4" s="1"/>
  <c r="I473" i="4"/>
  <c r="J473" i="4" s="1"/>
  <c r="I474" i="4"/>
  <c r="J474" i="4" s="1"/>
  <c r="I475" i="4"/>
  <c r="J475" i="4" s="1"/>
  <c r="I476" i="4"/>
  <c r="J476" i="4" s="1"/>
  <c r="I477" i="4"/>
  <c r="J477" i="4" s="1"/>
  <c r="I478" i="4"/>
  <c r="J478" i="4" s="1"/>
  <c r="I479" i="4"/>
  <c r="J479" i="4" s="1"/>
  <c r="I480" i="4"/>
  <c r="J480" i="4" s="1"/>
  <c r="I481" i="4"/>
  <c r="J481" i="4" s="1"/>
  <c r="I482" i="4"/>
  <c r="J482" i="4" s="1"/>
  <c r="I483" i="4"/>
  <c r="J483" i="4" s="1"/>
  <c r="I484" i="4"/>
  <c r="J484" i="4" s="1"/>
  <c r="I485" i="4"/>
  <c r="J485" i="4" s="1"/>
  <c r="I486" i="4"/>
  <c r="J486" i="4" s="1"/>
  <c r="I487" i="4"/>
  <c r="J487" i="4" s="1"/>
  <c r="I488" i="4"/>
  <c r="J488" i="4" s="1"/>
  <c r="I489" i="4"/>
  <c r="J489" i="4" s="1"/>
  <c r="I490" i="4"/>
  <c r="J490" i="4" s="1"/>
  <c r="I491" i="4"/>
  <c r="J491" i="4" s="1"/>
  <c r="I492" i="4"/>
  <c r="J492" i="4" s="1"/>
  <c r="I493" i="4"/>
  <c r="J493" i="4" s="1"/>
  <c r="I494" i="4"/>
  <c r="J494" i="4" s="1"/>
  <c r="I495" i="4"/>
  <c r="J495" i="4" s="1"/>
  <c r="I496" i="4"/>
  <c r="J496" i="4" s="1"/>
  <c r="I497" i="4"/>
  <c r="J497" i="4" s="1"/>
  <c r="I498" i="4"/>
  <c r="J498" i="4" s="1"/>
  <c r="I499" i="4"/>
  <c r="J499" i="4" s="1"/>
  <c r="I500" i="4"/>
  <c r="J500" i="4" s="1"/>
  <c r="I501" i="4"/>
  <c r="J501" i="4" s="1"/>
  <c r="I502" i="4"/>
  <c r="J502" i="4" s="1"/>
  <c r="I503" i="4"/>
  <c r="J503" i="4" s="1"/>
  <c r="I504" i="4"/>
  <c r="J504" i="4" s="1"/>
  <c r="I505" i="4"/>
  <c r="J505" i="4" s="1"/>
  <c r="I506" i="4"/>
  <c r="J506" i="4" s="1"/>
  <c r="I507" i="4"/>
  <c r="J507" i="4" s="1"/>
  <c r="I508" i="4"/>
  <c r="J508" i="4" s="1"/>
  <c r="I509" i="4"/>
  <c r="J509" i="4" s="1"/>
  <c r="I510" i="4"/>
  <c r="J510" i="4" s="1"/>
  <c r="I511" i="4"/>
  <c r="J511" i="4" s="1"/>
  <c r="I512" i="4"/>
  <c r="J512" i="4" s="1"/>
  <c r="I513" i="4"/>
  <c r="J513" i="4" s="1"/>
  <c r="I514" i="4"/>
  <c r="J514" i="4" s="1"/>
  <c r="I515" i="4"/>
  <c r="J515" i="4" s="1"/>
  <c r="I516" i="4"/>
  <c r="J516" i="4" s="1"/>
  <c r="I517" i="4"/>
  <c r="J517" i="4" s="1"/>
  <c r="I518" i="4"/>
  <c r="J518" i="4" s="1"/>
  <c r="I519" i="4"/>
  <c r="J519" i="4" s="1"/>
  <c r="I520" i="4"/>
  <c r="J520" i="4" s="1"/>
  <c r="I521" i="4"/>
  <c r="J521" i="4" s="1"/>
  <c r="I522" i="4"/>
  <c r="J522" i="4" s="1"/>
  <c r="I523" i="4"/>
  <c r="J523" i="4" s="1"/>
  <c r="I524" i="4"/>
  <c r="J524" i="4" s="1"/>
  <c r="I525" i="4"/>
  <c r="J525" i="4" s="1"/>
  <c r="I526" i="4"/>
  <c r="J526" i="4" s="1"/>
  <c r="I527" i="4"/>
  <c r="J527" i="4" s="1"/>
  <c r="I528" i="4"/>
  <c r="J528" i="4" s="1"/>
  <c r="I529" i="4"/>
  <c r="J529" i="4" s="1"/>
  <c r="I530" i="4"/>
  <c r="J530" i="4" s="1"/>
  <c r="I531" i="4"/>
  <c r="J531" i="4" s="1"/>
  <c r="I532" i="4"/>
  <c r="J532" i="4" s="1"/>
  <c r="I533" i="4"/>
  <c r="J533" i="4" s="1"/>
  <c r="I534" i="4"/>
  <c r="J534" i="4" s="1"/>
  <c r="I535" i="4"/>
  <c r="J535" i="4" s="1"/>
  <c r="I536" i="4"/>
  <c r="J536" i="4" s="1"/>
  <c r="I537" i="4"/>
  <c r="J537" i="4" s="1"/>
  <c r="I538" i="4"/>
  <c r="J538" i="4" s="1"/>
  <c r="I539" i="4"/>
  <c r="J539" i="4" s="1"/>
  <c r="I540" i="4"/>
  <c r="J540" i="4" s="1"/>
  <c r="I541" i="4"/>
  <c r="J541" i="4" s="1"/>
  <c r="I542" i="4"/>
  <c r="J542" i="4" s="1"/>
  <c r="I543" i="4"/>
  <c r="J543" i="4" s="1"/>
  <c r="I544" i="4"/>
  <c r="J544" i="4" s="1"/>
  <c r="I545" i="4"/>
  <c r="J545" i="4" s="1"/>
  <c r="I546" i="4"/>
  <c r="J546" i="4" s="1"/>
  <c r="I547" i="4"/>
  <c r="J547" i="4" s="1"/>
  <c r="I548" i="4"/>
  <c r="J548" i="4" s="1"/>
  <c r="I549" i="4"/>
  <c r="J549" i="4" s="1"/>
  <c r="I550" i="4"/>
  <c r="J550" i="4" s="1"/>
  <c r="I551" i="4"/>
  <c r="J551" i="4" s="1"/>
  <c r="I552" i="4"/>
  <c r="J552" i="4" s="1"/>
  <c r="I553" i="4"/>
  <c r="J553" i="4" s="1"/>
  <c r="I554" i="4"/>
  <c r="J554" i="4" s="1"/>
  <c r="I555" i="4"/>
  <c r="J555" i="4" s="1"/>
  <c r="I556" i="4"/>
  <c r="J556" i="4" s="1"/>
  <c r="I557" i="4"/>
  <c r="J557" i="4" s="1"/>
  <c r="I558" i="4"/>
  <c r="J558" i="4" s="1"/>
  <c r="I559" i="4"/>
  <c r="J559" i="4" s="1"/>
  <c r="I560" i="4"/>
  <c r="J560" i="4" s="1"/>
  <c r="I561" i="4"/>
  <c r="J561" i="4" s="1"/>
  <c r="I562" i="4"/>
  <c r="J562" i="4" s="1"/>
  <c r="I563" i="4"/>
  <c r="J563" i="4" s="1"/>
  <c r="I564" i="4"/>
  <c r="J564" i="4" s="1"/>
  <c r="I565" i="4"/>
  <c r="J565" i="4" s="1"/>
  <c r="I566" i="4"/>
  <c r="J566" i="4" s="1"/>
  <c r="I567" i="4"/>
  <c r="J567" i="4" s="1"/>
  <c r="I568" i="4"/>
  <c r="J568" i="4" s="1"/>
  <c r="I569" i="4"/>
  <c r="J569" i="4" s="1"/>
  <c r="I570" i="4"/>
  <c r="J570" i="4" s="1"/>
  <c r="I571" i="4"/>
  <c r="J571" i="4" s="1"/>
  <c r="I572" i="4"/>
  <c r="J572" i="4" s="1"/>
  <c r="I573" i="4"/>
  <c r="J573" i="4" s="1"/>
  <c r="I574" i="4"/>
  <c r="J574" i="4" s="1"/>
  <c r="I575" i="4"/>
  <c r="J575" i="4" s="1"/>
  <c r="I576" i="4"/>
  <c r="J576" i="4" s="1"/>
  <c r="I577" i="4"/>
  <c r="J577" i="4" s="1"/>
  <c r="I578" i="4"/>
  <c r="J578" i="4" s="1"/>
  <c r="I579" i="4"/>
  <c r="J579" i="4" s="1"/>
  <c r="I580" i="4"/>
  <c r="J580" i="4" s="1"/>
  <c r="I581" i="4"/>
  <c r="J581" i="4" s="1"/>
  <c r="I582" i="4"/>
  <c r="J582" i="4" s="1"/>
  <c r="I583" i="4"/>
  <c r="J583" i="4" s="1"/>
  <c r="I584" i="4"/>
  <c r="J584" i="4" s="1"/>
  <c r="I585" i="4"/>
  <c r="J585" i="4" s="1"/>
  <c r="I586" i="4"/>
  <c r="J586" i="4" s="1"/>
  <c r="I587" i="4"/>
  <c r="J587" i="4" s="1"/>
  <c r="I588" i="4"/>
  <c r="J588" i="4" s="1"/>
  <c r="I589" i="4"/>
  <c r="J589" i="4" s="1"/>
  <c r="I590" i="4"/>
  <c r="J590" i="4" s="1"/>
  <c r="I591" i="4"/>
  <c r="J591" i="4" s="1"/>
  <c r="I592" i="4"/>
  <c r="J592" i="4" s="1"/>
  <c r="I593" i="4"/>
  <c r="J593" i="4" s="1"/>
  <c r="I594" i="4"/>
  <c r="J594" i="4" s="1"/>
  <c r="I595" i="4"/>
  <c r="J595" i="4" s="1"/>
  <c r="I596" i="4"/>
  <c r="J596" i="4" s="1"/>
  <c r="I597" i="4"/>
  <c r="J597" i="4" s="1"/>
  <c r="I598" i="4"/>
  <c r="J598" i="4" s="1"/>
  <c r="I599" i="4"/>
  <c r="J599" i="4" s="1"/>
  <c r="I600" i="4"/>
  <c r="J600" i="4" s="1"/>
  <c r="I601" i="4"/>
  <c r="J601" i="4" s="1"/>
  <c r="I602" i="4"/>
  <c r="J602" i="4" s="1"/>
  <c r="I603" i="4"/>
  <c r="J603" i="4" s="1"/>
  <c r="I604" i="4"/>
  <c r="J604" i="4" s="1"/>
  <c r="I605" i="4"/>
  <c r="J605" i="4" s="1"/>
  <c r="I606" i="4"/>
  <c r="J606" i="4" s="1"/>
  <c r="I607" i="4"/>
  <c r="J607" i="4" s="1"/>
  <c r="I608" i="4"/>
  <c r="J608" i="4" s="1"/>
  <c r="I609" i="4"/>
  <c r="J609" i="4" s="1"/>
  <c r="I610" i="4"/>
  <c r="J610" i="4" s="1"/>
  <c r="I611" i="4"/>
  <c r="J611" i="4" s="1"/>
  <c r="I612" i="4"/>
  <c r="J612" i="4" s="1"/>
  <c r="I613" i="4"/>
  <c r="J613" i="4" s="1"/>
  <c r="I614" i="4"/>
  <c r="J614" i="4" s="1"/>
  <c r="I615" i="4"/>
  <c r="J615" i="4" s="1"/>
  <c r="I616" i="4"/>
  <c r="J616" i="4" s="1"/>
  <c r="I617" i="4"/>
  <c r="J617" i="4" s="1"/>
  <c r="I618" i="4"/>
  <c r="J618" i="4" s="1"/>
  <c r="I619" i="4"/>
  <c r="J619" i="4" s="1"/>
  <c r="I620" i="4"/>
  <c r="J620" i="4" s="1"/>
  <c r="I621" i="4"/>
  <c r="J621" i="4" s="1"/>
  <c r="I622" i="4"/>
  <c r="J622" i="4" s="1"/>
  <c r="I623" i="4"/>
  <c r="J623" i="4" s="1"/>
  <c r="I624" i="4"/>
  <c r="J624" i="4" s="1"/>
  <c r="I625" i="4"/>
  <c r="J625" i="4" s="1"/>
  <c r="I626" i="4"/>
  <c r="J626" i="4" s="1"/>
  <c r="I627" i="4"/>
  <c r="J627" i="4" s="1"/>
  <c r="I628" i="4"/>
  <c r="J628" i="4" s="1"/>
  <c r="I629" i="4"/>
  <c r="J629" i="4" s="1"/>
  <c r="I630" i="4"/>
  <c r="J630" i="4" s="1"/>
  <c r="I631" i="4"/>
  <c r="J631" i="4" s="1"/>
  <c r="I632" i="4"/>
  <c r="J632" i="4" s="1"/>
  <c r="I633" i="4"/>
  <c r="J633" i="4" s="1"/>
  <c r="I634" i="4"/>
  <c r="J634" i="4" s="1"/>
  <c r="I635" i="4"/>
  <c r="J635" i="4" s="1"/>
  <c r="I636" i="4"/>
  <c r="J636" i="4" s="1"/>
  <c r="I637" i="4"/>
  <c r="J637" i="4" s="1"/>
  <c r="I638" i="4"/>
  <c r="J638" i="4" s="1"/>
  <c r="I639" i="4"/>
  <c r="J639" i="4" s="1"/>
  <c r="I640" i="4"/>
  <c r="J640" i="4" s="1"/>
  <c r="I641" i="4"/>
  <c r="J641" i="4" s="1"/>
  <c r="I642" i="4"/>
  <c r="J642" i="4" s="1"/>
  <c r="I643" i="4"/>
  <c r="J643" i="4" s="1"/>
  <c r="I644" i="4"/>
  <c r="J644" i="4" s="1"/>
  <c r="I645" i="4"/>
  <c r="J645" i="4" s="1"/>
  <c r="I646" i="4"/>
  <c r="J646" i="4" s="1"/>
  <c r="I647" i="4"/>
  <c r="J647" i="4" s="1"/>
  <c r="I648" i="4"/>
  <c r="J648" i="4" s="1"/>
  <c r="I649" i="4"/>
  <c r="J649" i="4" s="1"/>
  <c r="I650" i="4"/>
  <c r="J650" i="4" s="1"/>
  <c r="I651" i="4"/>
  <c r="J651" i="4" s="1"/>
  <c r="I652" i="4"/>
  <c r="J652" i="4" s="1"/>
  <c r="I653" i="4"/>
  <c r="J653" i="4" s="1"/>
  <c r="I654" i="4"/>
  <c r="J654" i="4" s="1"/>
  <c r="I655" i="4"/>
  <c r="J655" i="4" s="1"/>
  <c r="I656" i="4"/>
  <c r="J656" i="4" s="1"/>
  <c r="I657" i="4"/>
  <c r="J657" i="4" s="1"/>
  <c r="I658" i="4"/>
  <c r="J658" i="4" s="1"/>
  <c r="I659" i="4"/>
  <c r="J659" i="4" s="1"/>
  <c r="I660" i="4"/>
  <c r="J660" i="4" s="1"/>
  <c r="I661" i="4"/>
  <c r="J661" i="4" s="1"/>
  <c r="I662" i="4"/>
  <c r="J662" i="4" s="1"/>
  <c r="I663" i="4"/>
  <c r="J663" i="4" s="1"/>
  <c r="I664" i="4"/>
  <c r="J664" i="4" s="1"/>
  <c r="I665" i="4"/>
  <c r="J665" i="4" s="1"/>
  <c r="I666" i="4"/>
  <c r="J666" i="4" s="1"/>
  <c r="I667" i="4"/>
  <c r="J667" i="4" s="1"/>
  <c r="I668" i="4"/>
  <c r="J668" i="4" s="1"/>
  <c r="I669" i="4"/>
  <c r="J669" i="4" s="1"/>
  <c r="I670" i="4"/>
  <c r="J670" i="4" s="1"/>
  <c r="I671" i="4"/>
  <c r="J671" i="4" s="1"/>
  <c r="I672" i="4"/>
  <c r="J672" i="4" s="1"/>
  <c r="I673" i="4"/>
  <c r="J673" i="4" s="1"/>
  <c r="I674" i="4"/>
  <c r="J674" i="4" s="1"/>
  <c r="I675" i="4"/>
  <c r="J675" i="4" s="1"/>
  <c r="I676" i="4"/>
  <c r="J676" i="4" s="1"/>
  <c r="I677" i="4"/>
  <c r="J677" i="4" s="1"/>
  <c r="I678" i="4"/>
  <c r="J678" i="4" s="1"/>
  <c r="I679" i="4"/>
  <c r="J679" i="4" s="1"/>
  <c r="I680" i="4"/>
  <c r="J680" i="4" s="1"/>
  <c r="I681" i="4"/>
  <c r="J681" i="4" s="1"/>
  <c r="I682" i="4"/>
  <c r="J682" i="4" s="1"/>
  <c r="I683" i="4"/>
  <c r="J683" i="4" s="1"/>
  <c r="I684" i="4"/>
  <c r="J684" i="4" s="1"/>
  <c r="I685" i="4"/>
  <c r="J685" i="4" s="1"/>
  <c r="I686" i="4"/>
  <c r="J686" i="4" s="1"/>
  <c r="I687" i="4"/>
  <c r="J687" i="4" s="1"/>
  <c r="I688" i="4"/>
  <c r="J688" i="4" s="1"/>
  <c r="I689" i="4"/>
  <c r="J689" i="4" s="1"/>
  <c r="I690" i="4"/>
  <c r="J690" i="4" s="1"/>
  <c r="I691" i="4"/>
  <c r="J691" i="4" s="1"/>
  <c r="I692" i="4"/>
  <c r="J692" i="4" s="1"/>
  <c r="I693" i="4"/>
  <c r="J693" i="4" s="1"/>
  <c r="I694" i="4"/>
  <c r="J694" i="4" s="1"/>
  <c r="I695" i="4"/>
  <c r="J695" i="4" s="1"/>
  <c r="I696" i="4"/>
  <c r="J696" i="4" s="1"/>
  <c r="I697" i="4"/>
  <c r="J697" i="4" s="1"/>
  <c r="I698" i="4"/>
  <c r="J698" i="4" s="1"/>
  <c r="I699" i="4"/>
  <c r="J699" i="4" s="1"/>
  <c r="I700" i="4"/>
  <c r="J700" i="4" s="1"/>
  <c r="I701" i="4"/>
  <c r="J701" i="4" s="1"/>
  <c r="I702" i="4"/>
  <c r="J702" i="4" s="1"/>
  <c r="I703" i="4"/>
  <c r="J703" i="4" s="1"/>
  <c r="I704" i="4"/>
  <c r="J704" i="4" s="1"/>
  <c r="I705" i="4"/>
  <c r="J705" i="4" s="1"/>
  <c r="I706" i="4"/>
  <c r="J706" i="4" s="1"/>
  <c r="I707" i="4"/>
  <c r="J707" i="4" s="1"/>
  <c r="I708" i="4"/>
  <c r="J708" i="4" s="1"/>
  <c r="I709" i="4"/>
  <c r="J709" i="4" s="1"/>
  <c r="I710" i="4"/>
  <c r="J710" i="4" s="1"/>
  <c r="I711" i="4"/>
  <c r="J711" i="4" s="1"/>
  <c r="I712" i="4"/>
  <c r="J712" i="4" s="1"/>
  <c r="I713" i="4"/>
  <c r="J713" i="4" s="1"/>
  <c r="I714" i="4"/>
  <c r="J714" i="4" s="1"/>
  <c r="I715" i="4"/>
  <c r="J715" i="4" s="1"/>
  <c r="I716" i="4"/>
  <c r="J716" i="4" s="1"/>
  <c r="I717" i="4"/>
  <c r="J717" i="4" s="1"/>
  <c r="I718" i="4"/>
  <c r="J718" i="4" s="1"/>
  <c r="I719" i="4"/>
  <c r="J719" i="4" s="1"/>
  <c r="I720" i="4"/>
  <c r="J720" i="4" s="1"/>
  <c r="I721" i="4"/>
  <c r="J721" i="4" s="1"/>
  <c r="I722" i="4"/>
  <c r="J722" i="4" s="1"/>
  <c r="I723" i="4"/>
  <c r="J723" i="4" s="1"/>
  <c r="I724" i="4"/>
  <c r="J724" i="4" s="1"/>
  <c r="I725" i="4"/>
  <c r="J725" i="4" s="1"/>
  <c r="I726" i="4"/>
  <c r="J726" i="4" s="1"/>
  <c r="I727" i="4"/>
  <c r="J727" i="4" s="1"/>
  <c r="I728" i="4"/>
  <c r="J728" i="4" s="1"/>
  <c r="I729" i="4"/>
  <c r="J729" i="4" s="1"/>
  <c r="I730" i="4"/>
  <c r="J730" i="4" s="1"/>
  <c r="I731" i="4"/>
  <c r="J731" i="4" s="1"/>
  <c r="I732" i="4"/>
  <c r="J732" i="4" s="1"/>
  <c r="I733" i="4"/>
  <c r="J733" i="4" s="1"/>
  <c r="I734" i="4"/>
  <c r="J734" i="4" s="1"/>
  <c r="I735" i="4"/>
  <c r="J735" i="4" s="1"/>
  <c r="I736" i="4"/>
  <c r="J736" i="4" s="1"/>
  <c r="I737" i="4"/>
  <c r="J737" i="4" s="1"/>
  <c r="I738" i="4"/>
  <c r="J738" i="4" s="1"/>
  <c r="I739" i="4"/>
  <c r="J739" i="4" s="1"/>
  <c r="I740" i="4"/>
  <c r="J740" i="4" s="1"/>
  <c r="I741" i="4"/>
  <c r="J741" i="4" s="1"/>
  <c r="I742" i="4"/>
  <c r="J742" i="4" s="1"/>
  <c r="I743" i="4"/>
  <c r="J743" i="4" s="1"/>
  <c r="I744" i="4"/>
  <c r="J744" i="4" s="1"/>
  <c r="I745" i="4"/>
  <c r="J745" i="4" s="1"/>
  <c r="I746" i="4"/>
  <c r="J746" i="4" s="1"/>
  <c r="I747" i="4"/>
  <c r="J747" i="4" s="1"/>
  <c r="I748" i="4"/>
  <c r="J748" i="4" s="1"/>
  <c r="I749" i="4"/>
  <c r="J749" i="4" s="1"/>
  <c r="I750" i="4"/>
  <c r="J750" i="4" s="1"/>
  <c r="I751" i="4"/>
  <c r="J751" i="4" s="1"/>
  <c r="I752" i="4"/>
  <c r="J752" i="4" s="1"/>
  <c r="I753" i="4"/>
  <c r="J753" i="4" s="1"/>
  <c r="I754" i="4"/>
  <c r="J754" i="4" s="1"/>
  <c r="I755" i="4"/>
  <c r="J755" i="4" s="1"/>
  <c r="I756" i="4"/>
  <c r="J756" i="4" s="1"/>
  <c r="I757" i="4"/>
  <c r="J757" i="4" s="1"/>
  <c r="I758" i="4"/>
  <c r="J758" i="4" s="1"/>
  <c r="I759" i="4"/>
  <c r="J759" i="4" s="1"/>
  <c r="I760" i="4"/>
  <c r="J760" i="4" s="1"/>
  <c r="I761" i="4"/>
  <c r="J761" i="4" s="1"/>
  <c r="I762" i="4"/>
  <c r="J762" i="4" s="1"/>
  <c r="I763" i="4"/>
  <c r="J763" i="4" s="1"/>
  <c r="I764" i="4"/>
  <c r="J764" i="4" s="1"/>
  <c r="I765" i="4"/>
  <c r="J765" i="4" s="1"/>
  <c r="I766" i="4"/>
  <c r="J766" i="4" s="1"/>
  <c r="I767" i="4"/>
  <c r="J767" i="4" s="1"/>
  <c r="I768" i="4"/>
  <c r="J768" i="4" s="1"/>
  <c r="I769" i="4"/>
  <c r="J769" i="4" s="1"/>
  <c r="I770" i="4"/>
  <c r="J770" i="4" s="1"/>
  <c r="I771" i="4"/>
  <c r="J771" i="4" s="1"/>
  <c r="I772" i="4"/>
  <c r="J772" i="4" s="1"/>
  <c r="I773" i="4"/>
  <c r="J773" i="4" s="1"/>
  <c r="I774" i="4"/>
  <c r="J774" i="4" s="1"/>
  <c r="I775" i="4"/>
  <c r="J775" i="4" s="1"/>
  <c r="I776" i="4"/>
  <c r="J776" i="4" s="1"/>
  <c r="I777" i="4"/>
  <c r="J777" i="4" s="1"/>
  <c r="I778" i="4"/>
  <c r="J778" i="4" s="1"/>
  <c r="I779" i="4"/>
  <c r="J779" i="4" s="1"/>
  <c r="I780" i="4"/>
  <c r="J780" i="4" s="1"/>
  <c r="I781" i="4"/>
  <c r="J781" i="4" s="1"/>
  <c r="I782" i="4"/>
  <c r="J782" i="4" s="1"/>
  <c r="I783" i="4"/>
  <c r="J783" i="4" s="1"/>
  <c r="I784" i="4"/>
  <c r="J784" i="4" s="1"/>
  <c r="I785" i="4"/>
  <c r="J785" i="4" s="1"/>
  <c r="I786" i="4"/>
  <c r="J786" i="4" s="1"/>
  <c r="I787" i="4"/>
  <c r="J787" i="4" s="1"/>
  <c r="I788" i="4"/>
  <c r="J788" i="4" s="1"/>
  <c r="I789" i="4"/>
  <c r="J789" i="4" s="1"/>
  <c r="I790" i="4"/>
  <c r="J790" i="4" s="1"/>
  <c r="I791" i="4"/>
  <c r="J791" i="4" s="1"/>
  <c r="I792" i="4"/>
  <c r="J792" i="4" s="1"/>
  <c r="I793" i="4"/>
  <c r="J793" i="4" s="1"/>
  <c r="I794" i="4"/>
  <c r="J794" i="4" s="1"/>
  <c r="I795" i="4"/>
  <c r="J795" i="4" s="1"/>
  <c r="I796" i="4"/>
  <c r="J796" i="4" s="1"/>
  <c r="I797" i="4"/>
  <c r="J797" i="4" s="1"/>
  <c r="I798" i="4"/>
  <c r="J798" i="4" s="1"/>
  <c r="I799" i="4"/>
  <c r="J799" i="4" s="1"/>
  <c r="I800" i="4"/>
  <c r="J800" i="4" s="1"/>
  <c r="I801" i="4"/>
  <c r="J801" i="4" s="1"/>
  <c r="I802" i="4"/>
  <c r="J802" i="4" s="1"/>
  <c r="I803" i="4"/>
  <c r="J803" i="4" s="1"/>
  <c r="I804" i="4"/>
  <c r="J804" i="4" s="1"/>
  <c r="I805" i="4"/>
  <c r="J805" i="4" s="1"/>
  <c r="I806" i="4"/>
  <c r="J806" i="4" s="1"/>
  <c r="I807" i="4"/>
  <c r="J807" i="4" s="1"/>
  <c r="I808" i="4"/>
  <c r="J808" i="4" s="1"/>
  <c r="I809" i="4"/>
  <c r="J809" i="4" s="1"/>
  <c r="I810" i="4"/>
  <c r="J810" i="4" s="1"/>
  <c r="I811" i="4"/>
  <c r="J811" i="4" s="1"/>
  <c r="I812" i="4"/>
  <c r="J812" i="4" s="1"/>
  <c r="I813" i="4"/>
  <c r="J813" i="4" s="1"/>
  <c r="I814" i="4"/>
  <c r="J814" i="4" s="1"/>
  <c r="I815" i="4"/>
  <c r="J815" i="4" s="1"/>
  <c r="I816" i="4"/>
  <c r="J816" i="4" s="1"/>
  <c r="I817" i="4"/>
  <c r="J817" i="4" s="1"/>
  <c r="I818" i="4"/>
  <c r="J818" i="4" s="1"/>
  <c r="I819" i="4"/>
  <c r="J819" i="4" s="1"/>
  <c r="I820" i="4"/>
  <c r="J820" i="4" s="1"/>
  <c r="I821" i="4"/>
  <c r="J821" i="4" s="1"/>
  <c r="I822" i="4"/>
  <c r="J822" i="4" s="1"/>
  <c r="I823" i="4"/>
  <c r="J823" i="4" s="1"/>
  <c r="I824" i="4"/>
  <c r="J824" i="4" s="1"/>
  <c r="I825" i="4"/>
  <c r="J825" i="4" s="1"/>
  <c r="I826" i="4"/>
  <c r="J826" i="4" s="1"/>
  <c r="I827" i="4"/>
  <c r="J827" i="4" s="1"/>
  <c r="I828" i="4"/>
  <c r="J828" i="4" s="1"/>
  <c r="I829" i="4"/>
  <c r="J829" i="4" s="1"/>
  <c r="I830" i="4"/>
  <c r="J830" i="4" s="1"/>
  <c r="I831" i="4"/>
  <c r="J831" i="4" s="1"/>
  <c r="I832" i="4"/>
  <c r="J832" i="4" s="1"/>
  <c r="I833" i="4"/>
  <c r="J833" i="4" s="1"/>
  <c r="I834" i="4"/>
  <c r="J834" i="4" s="1"/>
  <c r="I835" i="4"/>
  <c r="J835" i="4" s="1"/>
  <c r="I836" i="4"/>
  <c r="J836" i="4" s="1"/>
  <c r="I837" i="4"/>
  <c r="J837" i="4" s="1"/>
  <c r="I838" i="4"/>
  <c r="J838" i="4" s="1"/>
  <c r="I839" i="4"/>
  <c r="J839" i="4" s="1"/>
  <c r="I840" i="4"/>
  <c r="J840" i="4" s="1"/>
  <c r="I841" i="4"/>
  <c r="J841" i="4" s="1"/>
  <c r="I842" i="4"/>
  <c r="J842" i="4" s="1"/>
  <c r="I843" i="4"/>
  <c r="J843" i="4" s="1"/>
  <c r="I844" i="4"/>
  <c r="J844" i="4" s="1"/>
  <c r="I845" i="4"/>
  <c r="J845" i="4" s="1"/>
  <c r="I846" i="4"/>
  <c r="J846" i="4" s="1"/>
  <c r="I847" i="4"/>
  <c r="J847" i="4" s="1"/>
  <c r="I848" i="4"/>
  <c r="J848" i="4" s="1"/>
  <c r="I849" i="4"/>
  <c r="J849" i="4" s="1"/>
  <c r="I850" i="4"/>
  <c r="J850" i="4" s="1"/>
  <c r="I851" i="4"/>
  <c r="J851" i="4" s="1"/>
  <c r="I852" i="4"/>
  <c r="J852" i="4" s="1"/>
  <c r="I853" i="4"/>
  <c r="J853" i="4" s="1"/>
  <c r="I854" i="4"/>
  <c r="J854" i="4" s="1"/>
  <c r="I855" i="4"/>
  <c r="J855" i="4" s="1"/>
  <c r="I856" i="4"/>
  <c r="J856" i="4" s="1"/>
  <c r="I857" i="4"/>
  <c r="J857" i="4" s="1"/>
  <c r="I858" i="4"/>
  <c r="J858" i="4" s="1"/>
  <c r="I859" i="4"/>
  <c r="J859" i="4" s="1"/>
  <c r="I860" i="4"/>
  <c r="J860" i="4" s="1"/>
  <c r="I861" i="4"/>
  <c r="J861" i="4" s="1"/>
  <c r="I862" i="4"/>
  <c r="J862" i="4" s="1"/>
  <c r="I863" i="4"/>
  <c r="J863" i="4" s="1"/>
  <c r="I864" i="4"/>
  <c r="J864" i="4" s="1"/>
  <c r="I865" i="4"/>
  <c r="J865" i="4" s="1"/>
  <c r="I866" i="4"/>
  <c r="J866" i="4" s="1"/>
  <c r="I867" i="4"/>
  <c r="J867" i="4" s="1"/>
  <c r="I868" i="4"/>
  <c r="J868" i="4" s="1"/>
  <c r="I869" i="4"/>
  <c r="J869" i="4" s="1"/>
  <c r="I870" i="4"/>
  <c r="J870" i="4" s="1"/>
  <c r="I871" i="4"/>
  <c r="J871" i="4" s="1"/>
  <c r="I872" i="4"/>
  <c r="J872" i="4" s="1"/>
  <c r="I873" i="4"/>
  <c r="J873" i="4" s="1"/>
  <c r="I874" i="4"/>
  <c r="J874" i="4" s="1"/>
  <c r="I875" i="4"/>
  <c r="J875" i="4" s="1"/>
  <c r="I876" i="4"/>
  <c r="J876" i="4" s="1"/>
  <c r="I877" i="4"/>
  <c r="J877" i="4" s="1"/>
  <c r="I878" i="4"/>
  <c r="J878" i="4" s="1"/>
  <c r="I879" i="4"/>
  <c r="J879" i="4" s="1"/>
  <c r="I880" i="4"/>
  <c r="J880" i="4" s="1"/>
  <c r="I881" i="4"/>
  <c r="J881" i="4" s="1"/>
  <c r="I882" i="4"/>
  <c r="J882" i="4" s="1"/>
  <c r="I883" i="4"/>
  <c r="J883" i="4" s="1"/>
  <c r="I884" i="4"/>
  <c r="J884" i="4" s="1"/>
  <c r="I885" i="4"/>
  <c r="J885" i="4" s="1"/>
  <c r="I886" i="4"/>
  <c r="J886" i="4" s="1"/>
  <c r="I887" i="4"/>
  <c r="J887" i="4" s="1"/>
  <c r="I888" i="4"/>
  <c r="J888" i="4" s="1"/>
  <c r="I889" i="4"/>
  <c r="J889" i="4" s="1"/>
  <c r="I890" i="4"/>
  <c r="J890" i="4" s="1"/>
  <c r="I891" i="4"/>
  <c r="J891" i="4" s="1"/>
  <c r="I892" i="4"/>
  <c r="J892" i="4" s="1"/>
  <c r="I893" i="4"/>
  <c r="J893" i="4" s="1"/>
  <c r="I894" i="4"/>
  <c r="J894" i="4" s="1"/>
  <c r="I895" i="4"/>
  <c r="J895" i="4" s="1"/>
  <c r="I896" i="4"/>
  <c r="J896" i="4" s="1"/>
  <c r="I897" i="4"/>
  <c r="J897" i="4" s="1"/>
  <c r="I898" i="4"/>
  <c r="J898" i="4" s="1"/>
  <c r="I899" i="4"/>
  <c r="J899" i="4" s="1"/>
  <c r="I900" i="4"/>
  <c r="J900" i="4" s="1"/>
  <c r="I901" i="4"/>
  <c r="J901" i="4" s="1"/>
  <c r="I902" i="4"/>
  <c r="J902" i="4" s="1"/>
  <c r="I903" i="4"/>
  <c r="J903" i="4" s="1"/>
  <c r="I904" i="4"/>
  <c r="J904" i="4" s="1"/>
  <c r="I905" i="4"/>
  <c r="J905" i="4" s="1"/>
  <c r="I906" i="4"/>
  <c r="J906" i="4" s="1"/>
  <c r="I907" i="4"/>
  <c r="J907" i="4" s="1"/>
  <c r="I908" i="4"/>
  <c r="J908" i="4" s="1"/>
  <c r="I909" i="4"/>
  <c r="J909" i="4" s="1"/>
  <c r="I910" i="4"/>
  <c r="J910" i="4" s="1"/>
  <c r="I911" i="4"/>
  <c r="J911" i="4" s="1"/>
  <c r="I912" i="4"/>
  <c r="J912" i="4" s="1"/>
  <c r="I913" i="4"/>
  <c r="J913" i="4" s="1"/>
  <c r="I914" i="4"/>
  <c r="J914" i="4" s="1"/>
  <c r="I915" i="4"/>
  <c r="J915" i="4" s="1"/>
  <c r="I916" i="4"/>
  <c r="J916" i="4" s="1"/>
  <c r="I917" i="4"/>
  <c r="J917" i="4" s="1"/>
  <c r="I918" i="4"/>
  <c r="J918" i="4" s="1"/>
  <c r="I919" i="4"/>
  <c r="J919" i="4" s="1"/>
  <c r="I920" i="4"/>
  <c r="J920" i="4" s="1"/>
  <c r="I921" i="4"/>
  <c r="J921" i="4" s="1"/>
  <c r="I922" i="4"/>
  <c r="J922" i="4" s="1"/>
  <c r="I923" i="4"/>
  <c r="J923" i="4" s="1"/>
  <c r="I924" i="4"/>
  <c r="J924" i="4" s="1"/>
  <c r="I925" i="4"/>
  <c r="J925" i="4" s="1"/>
  <c r="I926" i="4"/>
  <c r="J926" i="4" s="1"/>
  <c r="I927" i="4"/>
  <c r="J927" i="4" s="1"/>
  <c r="I928" i="4"/>
  <c r="J928" i="4" s="1"/>
  <c r="I929" i="4"/>
  <c r="J929" i="4" s="1"/>
  <c r="I930" i="4"/>
  <c r="J930" i="4" s="1"/>
  <c r="I931" i="4"/>
  <c r="J931" i="4" s="1"/>
  <c r="I932" i="4"/>
  <c r="J932" i="4" s="1"/>
  <c r="I933" i="4"/>
  <c r="J933" i="4" s="1"/>
  <c r="I934" i="4"/>
  <c r="J934" i="4" s="1"/>
  <c r="I935" i="4"/>
  <c r="J935" i="4" s="1"/>
  <c r="I936" i="4"/>
  <c r="J936" i="4" s="1"/>
  <c r="I937" i="4"/>
  <c r="J937" i="4" s="1"/>
  <c r="I938" i="4"/>
  <c r="J938" i="4" s="1"/>
  <c r="I939" i="4"/>
  <c r="J939" i="4" s="1"/>
  <c r="I940" i="4"/>
  <c r="J940" i="4" s="1"/>
  <c r="I941" i="4"/>
  <c r="J941" i="4" s="1"/>
  <c r="I942" i="4"/>
  <c r="J942" i="4" s="1"/>
  <c r="I943" i="4"/>
  <c r="J943" i="4" s="1"/>
  <c r="I944" i="4"/>
  <c r="J944" i="4" s="1"/>
  <c r="I945" i="4"/>
  <c r="J945" i="4" s="1"/>
  <c r="I946" i="4"/>
  <c r="J946" i="4" s="1"/>
  <c r="I947" i="4"/>
  <c r="J947" i="4" s="1"/>
  <c r="I948" i="4"/>
  <c r="J948" i="4" s="1"/>
  <c r="I949" i="4"/>
  <c r="J949" i="4" s="1"/>
  <c r="I950" i="4"/>
  <c r="J950" i="4" s="1"/>
  <c r="I951" i="4"/>
  <c r="J951" i="4" s="1"/>
  <c r="I952" i="4"/>
  <c r="J952" i="4" s="1"/>
  <c r="I953" i="4"/>
  <c r="J953" i="4" s="1"/>
  <c r="I954" i="4"/>
  <c r="J954" i="4" s="1"/>
  <c r="I955" i="4"/>
  <c r="J955" i="4" s="1"/>
  <c r="I956" i="4"/>
  <c r="J956" i="4" s="1"/>
  <c r="I957" i="4"/>
  <c r="J957" i="4" s="1"/>
  <c r="I958" i="4"/>
  <c r="J958" i="4" s="1"/>
  <c r="I959" i="4"/>
  <c r="J959" i="4" s="1"/>
  <c r="I960" i="4"/>
  <c r="J960" i="4" s="1"/>
  <c r="I961" i="4"/>
  <c r="J961" i="4" s="1"/>
  <c r="I962" i="4"/>
  <c r="J962" i="4" s="1"/>
  <c r="I963" i="4"/>
  <c r="J963" i="4" s="1"/>
  <c r="I964" i="4"/>
  <c r="J964" i="4" s="1"/>
  <c r="I965" i="4"/>
  <c r="J965" i="4" s="1"/>
  <c r="I966" i="4"/>
  <c r="J966" i="4" s="1"/>
  <c r="I967" i="4"/>
  <c r="J967" i="4" s="1"/>
  <c r="I968" i="4"/>
  <c r="J968" i="4" s="1"/>
  <c r="I969" i="4"/>
  <c r="J969" i="4" s="1"/>
  <c r="I970" i="4"/>
  <c r="J970" i="4" s="1"/>
  <c r="I971" i="4"/>
  <c r="J971" i="4" s="1"/>
  <c r="I972" i="4"/>
  <c r="J972" i="4" s="1"/>
  <c r="I973" i="4"/>
  <c r="J973" i="4" s="1"/>
  <c r="I974" i="4"/>
  <c r="J974" i="4" s="1"/>
  <c r="I975" i="4"/>
  <c r="J975" i="4" s="1"/>
  <c r="I976" i="4"/>
  <c r="J976" i="4" s="1"/>
  <c r="I977" i="4"/>
  <c r="J977" i="4" s="1"/>
  <c r="I978" i="4"/>
  <c r="J978" i="4" s="1"/>
  <c r="I979" i="4"/>
  <c r="J979" i="4" s="1"/>
  <c r="I980" i="4"/>
  <c r="J980" i="4" s="1"/>
  <c r="I981" i="4"/>
  <c r="J981" i="4" s="1"/>
  <c r="I982" i="4"/>
  <c r="J982" i="4" s="1"/>
  <c r="I983" i="4"/>
  <c r="J983" i="4" s="1"/>
  <c r="I984" i="4"/>
  <c r="J984" i="4" s="1"/>
  <c r="I985" i="4"/>
  <c r="J985" i="4" s="1"/>
  <c r="I986" i="4"/>
  <c r="J986" i="4" s="1"/>
  <c r="I987" i="4"/>
  <c r="J987" i="4" s="1"/>
  <c r="I988" i="4"/>
  <c r="J988" i="4" s="1"/>
  <c r="I989" i="4"/>
  <c r="J989" i="4" s="1"/>
  <c r="I990" i="4"/>
  <c r="J990" i="4" s="1"/>
  <c r="I991" i="4"/>
  <c r="J991" i="4" s="1"/>
  <c r="I992" i="4"/>
  <c r="J992" i="4" s="1"/>
  <c r="I993" i="4"/>
  <c r="J993" i="4" s="1"/>
  <c r="I994" i="4"/>
  <c r="J994" i="4" s="1"/>
  <c r="I995" i="4"/>
  <c r="J995" i="4" s="1"/>
  <c r="I996" i="4"/>
  <c r="J996" i="4" s="1"/>
  <c r="I997" i="4"/>
  <c r="J997" i="4" s="1"/>
  <c r="I998" i="4"/>
  <c r="J998" i="4" s="1"/>
  <c r="I999" i="4"/>
  <c r="J999" i="4" s="1"/>
  <c r="I1000" i="4"/>
  <c r="J1000" i="4" s="1"/>
  <c r="I1001" i="4"/>
  <c r="J1001" i="4" s="1"/>
  <c r="I1002" i="4"/>
  <c r="J1002" i="4" s="1"/>
  <c r="I1003" i="4"/>
  <c r="J1003" i="4" s="1"/>
  <c r="I1004" i="4"/>
  <c r="J1004" i="4" s="1"/>
  <c r="I1005" i="4"/>
  <c r="J1005" i="4" s="1"/>
  <c r="I1006" i="4"/>
  <c r="J1006" i="4" s="1"/>
  <c r="I1007" i="4"/>
  <c r="J1007" i="4" s="1"/>
  <c r="I1008" i="4"/>
  <c r="J1008" i="4" s="1"/>
  <c r="I1009" i="4"/>
  <c r="J1009" i="4" s="1"/>
  <c r="I1010" i="4"/>
  <c r="J1010" i="4" s="1"/>
  <c r="I1011" i="4"/>
  <c r="J1011" i="4" s="1"/>
  <c r="I1012" i="4"/>
  <c r="J1012" i="4" s="1"/>
  <c r="I1013" i="4"/>
  <c r="J1013" i="4" s="1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D114" i="4"/>
  <c r="E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D122" i="4"/>
  <c r="E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D130" i="4"/>
  <c r="E130" i="4" s="1"/>
  <c r="D131" i="4"/>
  <c r="E131" i="4" s="1"/>
  <c r="D132" i="4"/>
  <c r="E132" i="4" s="1"/>
  <c r="D133" i="4"/>
  <c r="E133" i="4" s="1"/>
  <c r="D134" i="4"/>
  <c r="E134" i="4" s="1"/>
  <c r="D135" i="4"/>
  <c r="E135" i="4" s="1"/>
  <c r="D136" i="4"/>
  <c r="E136" i="4" s="1"/>
  <c r="D137" i="4"/>
  <c r="E137" i="4" s="1"/>
  <c r="D138" i="4"/>
  <c r="E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D154" i="4"/>
  <c r="E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D178" i="4"/>
  <c r="E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D211" i="4"/>
  <c r="E211" i="4" s="1"/>
  <c r="D212" i="4"/>
  <c r="E212" i="4" s="1"/>
  <c r="D213" i="4"/>
  <c r="E213" i="4" s="1"/>
  <c r="D214" i="4"/>
  <c r="E214" i="4" s="1"/>
  <c r="D215" i="4"/>
  <c r="E215" i="4" s="1"/>
  <c r="D216" i="4"/>
  <c r="E216" i="4" s="1"/>
  <c r="D217" i="4"/>
  <c r="E217" i="4" s="1"/>
  <c r="D218" i="4"/>
  <c r="E218" i="4" s="1"/>
  <c r="D219" i="4"/>
  <c r="E219" i="4" s="1"/>
  <c r="D220" i="4"/>
  <c r="E220" i="4" s="1"/>
  <c r="D221" i="4"/>
  <c r="E221" i="4" s="1"/>
  <c r="D222" i="4"/>
  <c r="E222" i="4" s="1"/>
  <c r="D223" i="4"/>
  <c r="E223" i="4" s="1"/>
  <c r="D224" i="4"/>
  <c r="E224" i="4" s="1"/>
  <c r="D225" i="4"/>
  <c r="E225" i="4" s="1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6" i="4"/>
  <c r="E236" i="4" s="1"/>
  <c r="D237" i="4"/>
  <c r="E237" i="4" s="1"/>
  <c r="D238" i="4"/>
  <c r="E238" i="4" s="1"/>
  <c r="D239" i="4"/>
  <c r="E239" i="4" s="1"/>
  <c r="D240" i="4"/>
  <c r="E240" i="4" s="1"/>
  <c r="D241" i="4"/>
  <c r="E241" i="4" s="1"/>
  <c r="D242" i="4"/>
  <c r="E242" i="4" s="1"/>
  <c r="D243" i="4"/>
  <c r="E243" i="4" s="1"/>
  <c r="D244" i="4"/>
  <c r="E244" i="4" s="1"/>
  <c r="D245" i="4"/>
  <c r="E245" i="4" s="1"/>
  <c r="D246" i="4"/>
  <c r="E246" i="4" s="1"/>
  <c r="D247" i="4"/>
  <c r="E247" i="4" s="1"/>
  <c r="D248" i="4"/>
  <c r="E248" i="4" s="1"/>
  <c r="D249" i="4"/>
  <c r="E249" i="4" s="1"/>
  <c r="D250" i="4"/>
  <c r="E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D274" i="4"/>
  <c r="E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D282" i="4"/>
  <c r="E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E288" i="4" s="1"/>
  <c r="D289" i="4"/>
  <c r="E289" i="4" s="1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E304" i="4" s="1"/>
  <c r="D305" i="4"/>
  <c r="E305" i="4" s="1"/>
  <c r="D306" i="4"/>
  <c r="E306" i="4" s="1"/>
  <c r="D307" i="4"/>
  <c r="E307" i="4" s="1"/>
  <c r="D308" i="4"/>
  <c r="E308" i="4" s="1"/>
  <c r="D309" i="4"/>
  <c r="E309" i="4" s="1"/>
  <c r="D310" i="4"/>
  <c r="E310" i="4" s="1"/>
  <c r="D311" i="4"/>
  <c r="E311" i="4" s="1"/>
  <c r="D312" i="4"/>
  <c r="E312" i="4" s="1"/>
  <c r="D313" i="4"/>
  <c r="E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D338" i="4"/>
  <c r="E338" i="4" s="1"/>
  <c r="D339" i="4"/>
  <c r="E339" i="4" s="1"/>
  <c r="D340" i="4"/>
  <c r="E340" i="4" s="1"/>
  <c r="D341" i="4"/>
  <c r="E341" i="4" s="1"/>
  <c r="D342" i="4"/>
  <c r="E342" i="4" s="1"/>
  <c r="D343" i="4"/>
  <c r="E343" i="4" s="1"/>
  <c r="D344" i="4"/>
  <c r="E344" i="4" s="1"/>
  <c r="D345" i="4"/>
  <c r="E345" i="4" s="1"/>
  <c r="D346" i="4"/>
  <c r="E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E352" i="4" s="1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4" i="4"/>
  <c r="E364" i="4" s="1"/>
  <c r="D365" i="4"/>
  <c r="E365" i="4" s="1"/>
  <c r="D366" i="4"/>
  <c r="E366" i="4" s="1"/>
  <c r="D367" i="4"/>
  <c r="E367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D378" i="4"/>
  <c r="E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E400" i="4" s="1"/>
  <c r="D401" i="4"/>
  <c r="E401" i="4" s="1"/>
  <c r="D402" i="4"/>
  <c r="E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D416" i="4"/>
  <c r="E416" i="4" s="1"/>
  <c r="D417" i="4"/>
  <c r="E417" i="4" s="1"/>
  <c r="D418" i="4"/>
  <c r="E418" i="4" s="1"/>
  <c r="D419" i="4"/>
  <c r="E419" i="4" s="1"/>
  <c r="D420" i="4"/>
  <c r="E420" i="4" s="1"/>
  <c r="D421" i="4"/>
  <c r="E421" i="4" s="1"/>
  <c r="D422" i="4"/>
  <c r="E422" i="4" s="1"/>
  <c r="D423" i="4"/>
  <c r="E423" i="4" s="1"/>
  <c r="D424" i="4"/>
  <c r="E424" i="4" s="1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E432" i="4" s="1"/>
  <c r="D433" i="4"/>
  <c r="E433" i="4" s="1"/>
  <c r="D434" i="4"/>
  <c r="E434" i="4" s="1"/>
  <c r="D435" i="4"/>
  <c r="E435" i="4" s="1"/>
  <c r="D436" i="4"/>
  <c r="E436" i="4" s="1"/>
  <c r="D437" i="4"/>
  <c r="E437" i="4" s="1"/>
  <c r="D438" i="4"/>
  <c r="E438" i="4" s="1"/>
  <c r="D439" i="4"/>
  <c r="E439" i="4" s="1"/>
  <c r="D440" i="4"/>
  <c r="E440" i="4" s="1"/>
  <c r="D441" i="4"/>
  <c r="E441" i="4" s="1"/>
  <c r="D442" i="4"/>
  <c r="E442" i="4" s="1"/>
  <c r="D443" i="4"/>
  <c r="E443" i="4" s="1"/>
  <c r="D444" i="4"/>
  <c r="E444" i="4" s="1"/>
  <c r="D445" i="4"/>
  <c r="E445" i="4" s="1"/>
  <c r="D446" i="4"/>
  <c r="E446" i="4" s="1"/>
  <c r="D447" i="4"/>
  <c r="E447" i="4" s="1"/>
  <c r="D448" i="4"/>
  <c r="E448" i="4" s="1"/>
  <c r="D449" i="4"/>
  <c r="E449" i="4" s="1"/>
  <c r="D450" i="4"/>
  <c r="E450" i="4" s="1"/>
  <c r="D451" i="4"/>
  <c r="E451" i="4" s="1"/>
  <c r="D452" i="4"/>
  <c r="E452" i="4" s="1"/>
  <c r="D453" i="4"/>
  <c r="E453" i="4" s="1"/>
  <c r="D454" i="4"/>
  <c r="E454" i="4" s="1"/>
  <c r="D455" i="4"/>
  <c r="E455" i="4" s="1"/>
  <c r="D456" i="4"/>
  <c r="E456" i="4" s="1"/>
  <c r="D457" i="4"/>
  <c r="E457" i="4" s="1"/>
  <c r="D458" i="4"/>
  <c r="E458" i="4" s="1"/>
  <c r="D459" i="4"/>
  <c r="E459" i="4" s="1"/>
  <c r="D460" i="4"/>
  <c r="E460" i="4" s="1"/>
  <c r="D461" i="4"/>
  <c r="E461" i="4" s="1"/>
  <c r="D462" i="4"/>
  <c r="E462" i="4" s="1"/>
  <c r="D463" i="4"/>
  <c r="E463" i="4" s="1"/>
  <c r="D464" i="4"/>
  <c r="E464" i="4" s="1"/>
  <c r="D465" i="4"/>
  <c r="E465" i="4" s="1"/>
  <c r="D466" i="4"/>
  <c r="E466" i="4" s="1"/>
  <c r="D467" i="4"/>
  <c r="E467" i="4" s="1"/>
  <c r="D468" i="4"/>
  <c r="E468" i="4" s="1"/>
  <c r="D469" i="4"/>
  <c r="E469" i="4" s="1"/>
  <c r="D470" i="4"/>
  <c r="E470" i="4" s="1"/>
  <c r="D471" i="4"/>
  <c r="E471" i="4" s="1"/>
  <c r="D472" i="4"/>
  <c r="E472" i="4" s="1"/>
  <c r="D473" i="4"/>
  <c r="E473" i="4" s="1"/>
  <c r="D474" i="4"/>
  <c r="E474" i="4" s="1"/>
  <c r="D475" i="4"/>
  <c r="E475" i="4" s="1"/>
  <c r="D476" i="4"/>
  <c r="E476" i="4" s="1"/>
  <c r="D477" i="4"/>
  <c r="E477" i="4" s="1"/>
  <c r="D478" i="4"/>
  <c r="E478" i="4" s="1"/>
  <c r="D479" i="4"/>
  <c r="E479" i="4" s="1"/>
  <c r="D480" i="4"/>
  <c r="E480" i="4" s="1"/>
  <c r="D481" i="4"/>
  <c r="E481" i="4" s="1"/>
  <c r="D482" i="4"/>
  <c r="E482" i="4" s="1"/>
  <c r="D483" i="4"/>
  <c r="E483" i="4" s="1"/>
  <c r="D484" i="4"/>
  <c r="E484" i="4" s="1"/>
  <c r="D485" i="4"/>
  <c r="E485" i="4" s="1"/>
  <c r="D486" i="4"/>
  <c r="E486" i="4" s="1"/>
  <c r="D487" i="4"/>
  <c r="E487" i="4" s="1"/>
  <c r="D488" i="4"/>
  <c r="E488" i="4" s="1"/>
  <c r="D489" i="4"/>
  <c r="E489" i="4" s="1"/>
  <c r="D490" i="4"/>
  <c r="E490" i="4" s="1"/>
  <c r="D491" i="4"/>
  <c r="E491" i="4" s="1"/>
  <c r="D492" i="4"/>
  <c r="E492" i="4" s="1"/>
  <c r="D493" i="4"/>
  <c r="E493" i="4" s="1"/>
  <c r="D494" i="4"/>
  <c r="E494" i="4" s="1"/>
  <c r="D495" i="4"/>
  <c r="E495" i="4" s="1"/>
  <c r="D496" i="4"/>
  <c r="E496" i="4" s="1"/>
  <c r="D497" i="4"/>
  <c r="E497" i="4" s="1"/>
  <c r="D498" i="4"/>
  <c r="E498" i="4" s="1"/>
  <c r="D499" i="4"/>
  <c r="E499" i="4" s="1"/>
  <c r="D500" i="4"/>
  <c r="E500" i="4" s="1"/>
  <c r="D501" i="4"/>
  <c r="E501" i="4" s="1"/>
  <c r="D502" i="4"/>
  <c r="E502" i="4" s="1"/>
  <c r="D503" i="4"/>
  <c r="E503" i="4" s="1"/>
  <c r="D504" i="4"/>
  <c r="E504" i="4" s="1"/>
  <c r="D505" i="4"/>
  <c r="E505" i="4" s="1"/>
  <c r="D506" i="4"/>
  <c r="E506" i="4" s="1"/>
  <c r="D507" i="4"/>
  <c r="E507" i="4" s="1"/>
  <c r="D508" i="4"/>
  <c r="E508" i="4" s="1"/>
  <c r="D509" i="4"/>
  <c r="E509" i="4" s="1"/>
  <c r="D510" i="4"/>
  <c r="E510" i="4" s="1"/>
  <c r="D511" i="4"/>
  <c r="E511" i="4" s="1"/>
  <c r="D512" i="4"/>
  <c r="E512" i="4" s="1"/>
  <c r="D513" i="4"/>
  <c r="E513" i="4" s="1"/>
  <c r="D514" i="4"/>
  <c r="E514" i="4" s="1"/>
  <c r="D515" i="4"/>
  <c r="E515" i="4" s="1"/>
  <c r="D516" i="4"/>
  <c r="E516" i="4" s="1"/>
  <c r="D517" i="4"/>
  <c r="E517" i="4" s="1"/>
  <c r="D518" i="4"/>
  <c r="E518" i="4" s="1"/>
  <c r="D519" i="4"/>
  <c r="E519" i="4" s="1"/>
  <c r="D520" i="4"/>
  <c r="E520" i="4" s="1"/>
  <c r="D521" i="4"/>
  <c r="E521" i="4" s="1"/>
  <c r="D522" i="4"/>
  <c r="E522" i="4" s="1"/>
  <c r="D523" i="4"/>
  <c r="E523" i="4" s="1"/>
  <c r="D524" i="4"/>
  <c r="E524" i="4" s="1"/>
  <c r="D525" i="4"/>
  <c r="E525" i="4" s="1"/>
  <c r="D526" i="4"/>
  <c r="E526" i="4" s="1"/>
  <c r="D527" i="4"/>
  <c r="E527" i="4" s="1"/>
  <c r="D528" i="4"/>
  <c r="E528" i="4" s="1"/>
  <c r="D529" i="4"/>
  <c r="E529" i="4" s="1"/>
  <c r="D530" i="4"/>
  <c r="E530" i="4" s="1"/>
  <c r="D531" i="4"/>
  <c r="E531" i="4" s="1"/>
  <c r="D532" i="4"/>
  <c r="E532" i="4" s="1"/>
  <c r="D533" i="4"/>
  <c r="E533" i="4" s="1"/>
  <c r="D534" i="4"/>
  <c r="E534" i="4" s="1"/>
  <c r="D535" i="4"/>
  <c r="E535" i="4" s="1"/>
  <c r="D536" i="4"/>
  <c r="E536" i="4" s="1"/>
  <c r="D537" i="4"/>
  <c r="E537" i="4" s="1"/>
  <c r="D538" i="4"/>
  <c r="E538" i="4" s="1"/>
  <c r="D539" i="4"/>
  <c r="E539" i="4" s="1"/>
  <c r="D540" i="4"/>
  <c r="E540" i="4" s="1"/>
  <c r="D541" i="4"/>
  <c r="E541" i="4" s="1"/>
  <c r="D542" i="4"/>
  <c r="E542" i="4" s="1"/>
  <c r="D543" i="4"/>
  <c r="E543" i="4" s="1"/>
  <c r="D544" i="4"/>
  <c r="E544" i="4" s="1"/>
  <c r="D545" i="4"/>
  <c r="E545" i="4" s="1"/>
  <c r="D546" i="4"/>
  <c r="E546" i="4" s="1"/>
  <c r="D547" i="4"/>
  <c r="E547" i="4" s="1"/>
  <c r="D548" i="4"/>
  <c r="E548" i="4" s="1"/>
  <c r="D549" i="4"/>
  <c r="E549" i="4" s="1"/>
  <c r="D550" i="4"/>
  <c r="E550" i="4" s="1"/>
  <c r="D551" i="4"/>
  <c r="E551" i="4" s="1"/>
  <c r="D552" i="4"/>
  <c r="E552" i="4" s="1"/>
  <c r="D553" i="4"/>
  <c r="E553" i="4" s="1"/>
  <c r="D554" i="4"/>
  <c r="E554" i="4" s="1"/>
  <c r="D555" i="4"/>
  <c r="E555" i="4" s="1"/>
  <c r="D556" i="4"/>
  <c r="E556" i="4" s="1"/>
  <c r="D557" i="4"/>
  <c r="E557" i="4" s="1"/>
  <c r="D558" i="4"/>
  <c r="E558" i="4" s="1"/>
  <c r="D559" i="4"/>
  <c r="E559" i="4" s="1"/>
  <c r="D560" i="4"/>
  <c r="E560" i="4" s="1"/>
  <c r="D561" i="4"/>
  <c r="E561" i="4" s="1"/>
  <c r="D562" i="4"/>
  <c r="E562" i="4" s="1"/>
  <c r="D563" i="4"/>
  <c r="E563" i="4" s="1"/>
  <c r="D564" i="4"/>
  <c r="E564" i="4" s="1"/>
  <c r="D565" i="4"/>
  <c r="E565" i="4" s="1"/>
  <c r="D566" i="4"/>
  <c r="E566" i="4" s="1"/>
  <c r="D567" i="4"/>
  <c r="E567" i="4" s="1"/>
  <c r="D568" i="4"/>
  <c r="E568" i="4" s="1"/>
  <c r="D569" i="4"/>
  <c r="E569" i="4" s="1"/>
  <c r="D570" i="4"/>
  <c r="E570" i="4" s="1"/>
  <c r="D571" i="4"/>
  <c r="E571" i="4" s="1"/>
  <c r="D572" i="4"/>
  <c r="E572" i="4" s="1"/>
  <c r="D573" i="4"/>
  <c r="E573" i="4" s="1"/>
  <c r="D574" i="4"/>
  <c r="E574" i="4" s="1"/>
  <c r="D575" i="4"/>
  <c r="E575" i="4" s="1"/>
  <c r="D576" i="4"/>
  <c r="E576" i="4" s="1"/>
  <c r="D577" i="4"/>
  <c r="E577" i="4" s="1"/>
  <c r="D578" i="4"/>
  <c r="E578" i="4" s="1"/>
  <c r="D579" i="4"/>
  <c r="E579" i="4" s="1"/>
  <c r="D580" i="4"/>
  <c r="E580" i="4" s="1"/>
  <c r="D581" i="4"/>
  <c r="E581" i="4" s="1"/>
  <c r="D582" i="4"/>
  <c r="E582" i="4" s="1"/>
  <c r="D583" i="4"/>
  <c r="E583" i="4" s="1"/>
  <c r="D584" i="4"/>
  <c r="E584" i="4" s="1"/>
  <c r="D585" i="4"/>
  <c r="E585" i="4" s="1"/>
  <c r="D586" i="4"/>
  <c r="E586" i="4" s="1"/>
  <c r="D587" i="4"/>
  <c r="E587" i="4" s="1"/>
  <c r="D588" i="4"/>
  <c r="E588" i="4" s="1"/>
  <c r="D589" i="4"/>
  <c r="E589" i="4" s="1"/>
  <c r="D590" i="4"/>
  <c r="E590" i="4" s="1"/>
  <c r="D591" i="4"/>
  <c r="E591" i="4" s="1"/>
  <c r="D592" i="4"/>
  <c r="E592" i="4" s="1"/>
  <c r="D593" i="4"/>
  <c r="E593" i="4" s="1"/>
  <c r="D594" i="4"/>
  <c r="E594" i="4" s="1"/>
  <c r="D595" i="4"/>
  <c r="E595" i="4" s="1"/>
  <c r="D596" i="4"/>
  <c r="E596" i="4" s="1"/>
  <c r="D597" i="4"/>
  <c r="E597" i="4" s="1"/>
  <c r="D598" i="4"/>
  <c r="E598" i="4" s="1"/>
  <c r="D599" i="4"/>
  <c r="E599" i="4" s="1"/>
  <c r="D600" i="4"/>
  <c r="E600" i="4" s="1"/>
  <c r="D601" i="4"/>
  <c r="E601" i="4" s="1"/>
  <c r="D602" i="4"/>
  <c r="E602" i="4" s="1"/>
  <c r="D603" i="4"/>
  <c r="E603" i="4" s="1"/>
  <c r="D604" i="4"/>
  <c r="E604" i="4" s="1"/>
  <c r="D605" i="4"/>
  <c r="E605" i="4" s="1"/>
  <c r="D606" i="4"/>
  <c r="E606" i="4" s="1"/>
  <c r="D607" i="4"/>
  <c r="E607" i="4" s="1"/>
  <c r="D608" i="4"/>
  <c r="E608" i="4" s="1"/>
  <c r="D609" i="4"/>
  <c r="E609" i="4" s="1"/>
  <c r="D610" i="4"/>
  <c r="E610" i="4" s="1"/>
  <c r="D611" i="4"/>
  <c r="E611" i="4" s="1"/>
  <c r="D612" i="4"/>
  <c r="E612" i="4" s="1"/>
  <c r="D613" i="4"/>
  <c r="E613" i="4" s="1"/>
  <c r="D614" i="4"/>
  <c r="E614" i="4" s="1"/>
  <c r="D615" i="4"/>
  <c r="E615" i="4" s="1"/>
  <c r="D616" i="4"/>
  <c r="E616" i="4" s="1"/>
  <c r="D617" i="4"/>
  <c r="E617" i="4" s="1"/>
  <c r="D618" i="4"/>
  <c r="E618" i="4" s="1"/>
  <c r="D619" i="4"/>
  <c r="E619" i="4" s="1"/>
  <c r="D620" i="4"/>
  <c r="E620" i="4" s="1"/>
  <c r="D621" i="4"/>
  <c r="E621" i="4" s="1"/>
  <c r="D622" i="4"/>
  <c r="E622" i="4" s="1"/>
  <c r="D623" i="4"/>
  <c r="E623" i="4" s="1"/>
  <c r="D624" i="4"/>
  <c r="E624" i="4" s="1"/>
  <c r="D625" i="4"/>
  <c r="E625" i="4" s="1"/>
  <c r="D626" i="4"/>
  <c r="E626" i="4" s="1"/>
  <c r="D627" i="4"/>
  <c r="E627" i="4" s="1"/>
  <c r="D628" i="4"/>
  <c r="E628" i="4" s="1"/>
  <c r="D629" i="4"/>
  <c r="E629" i="4" s="1"/>
  <c r="D630" i="4"/>
  <c r="E630" i="4" s="1"/>
  <c r="D631" i="4"/>
  <c r="E631" i="4" s="1"/>
  <c r="D632" i="4"/>
  <c r="E632" i="4" s="1"/>
  <c r="D633" i="4"/>
  <c r="E633" i="4" s="1"/>
  <c r="D634" i="4"/>
  <c r="E634" i="4" s="1"/>
  <c r="D635" i="4"/>
  <c r="E635" i="4" s="1"/>
  <c r="D636" i="4"/>
  <c r="E636" i="4" s="1"/>
  <c r="D637" i="4"/>
  <c r="E637" i="4" s="1"/>
  <c r="D638" i="4"/>
  <c r="E638" i="4" s="1"/>
  <c r="D639" i="4"/>
  <c r="E639" i="4" s="1"/>
  <c r="D640" i="4"/>
  <c r="E640" i="4" s="1"/>
  <c r="D641" i="4"/>
  <c r="E641" i="4" s="1"/>
  <c r="D642" i="4"/>
  <c r="E642" i="4" s="1"/>
  <c r="D643" i="4"/>
  <c r="E643" i="4" s="1"/>
  <c r="D644" i="4"/>
  <c r="E644" i="4" s="1"/>
  <c r="D645" i="4"/>
  <c r="E645" i="4" s="1"/>
  <c r="D646" i="4"/>
  <c r="E646" i="4" s="1"/>
  <c r="D647" i="4"/>
  <c r="E647" i="4" s="1"/>
  <c r="D648" i="4"/>
  <c r="E648" i="4" s="1"/>
  <c r="D649" i="4"/>
  <c r="E649" i="4" s="1"/>
  <c r="D650" i="4"/>
  <c r="E650" i="4" s="1"/>
  <c r="D651" i="4"/>
  <c r="E651" i="4" s="1"/>
  <c r="D652" i="4"/>
  <c r="E652" i="4" s="1"/>
  <c r="D653" i="4"/>
  <c r="E653" i="4" s="1"/>
  <c r="D654" i="4"/>
  <c r="E654" i="4" s="1"/>
  <c r="D655" i="4"/>
  <c r="E655" i="4" s="1"/>
  <c r="D656" i="4"/>
  <c r="E656" i="4" s="1"/>
  <c r="D657" i="4"/>
  <c r="E657" i="4" s="1"/>
  <c r="D658" i="4"/>
  <c r="E658" i="4" s="1"/>
  <c r="D659" i="4"/>
  <c r="E659" i="4" s="1"/>
  <c r="D660" i="4"/>
  <c r="E660" i="4" s="1"/>
  <c r="D661" i="4"/>
  <c r="E661" i="4" s="1"/>
  <c r="D662" i="4"/>
  <c r="E662" i="4" s="1"/>
  <c r="D663" i="4"/>
  <c r="E663" i="4" s="1"/>
  <c r="D664" i="4"/>
  <c r="E664" i="4" s="1"/>
  <c r="D665" i="4"/>
  <c r="E665" i="4" s="1"/>
  <c r="D666" i="4"/>
  <c r="E666" i="4" s="1"/>
  <c r="D667" i="4"/>
  <c r="E667" i="4" s="1"/>
  <c r="D668" i="4"/>
  <c r="E668" i="4" s="1"/>
  <c r="D669" i="4"/>
  <c r="E669" i="4" s="1"/>
  <c r="D670" i="4"/>
  <c r="E670" i="4" s="1"/>
  <c r="D671" i="4"/>
  <c r="E671" i="4" s="1"/>
  <c r="D672" i="4"/>
  <c r="E672" i="4" s="1"/>
  <c r="D673" i="4"/>
  <c r="E673" i="4" s="1"/>
  <c r="D674" i="4"/>
  <c r="E674" i="4" s="1"/>
  <c r="D675" i="4"/>
  <c r="E675" i="4" s="1"/>
  <c r="D676" i="4"/>
  <c r="E676" i="4" s="1"/>
  <c r="D677" i="4"/>
  <c r="E677" i="4" s="1"/>
  <c r="D678" i="4"/>
  <c r="E678" i="4" s="1"/>
  <c r="D679" i="4"/>
  <c r="E679" i="4" s="1"/>
  <c r="D680" i="4"/>
  <c r="E680" i="4" s="1"/>
  <c r="D681" i="4"/>
  <c r="E681" i="4" s="1"/>
  <c r="D682" i="4"/>
  <c r="E682" i="4" s="1"/>
  <c r="D683" i="4"/>
  <c r="E683" i="4" s="1"/>
  <c r="D684" i="4"/>
  <c r="E684" i="4" s="1"/>
  <c r="D685" i="4"/>
  <c r="E685" i="4" s="1"/>
  <c r="D686" i="4"/>
  <c r="E686" i="4" s="1"/>
  <c r="D687" i="4"/>
  <c r="E687" i="4" s="1"/>
  <c r="D688" i="4"/>
  <c r="E688" i="4" s="1"/>
  <c r="D689" i="4"/>
  <c r="E689" i="4" s="1"/>
  <c r="D690" i="4"/>
  <c r="E690" i="4" s="1"/>
  <c r="D691" i="4"/>
  <c r="E691" i="4" s="1"/>
  <c r="D692" i="4"/>
  <c r="E692" i="4" s="1"/>
  <c r="D693" i="4"/>
  <c r="E693" i="4" s="1"/>
  <c r="D694" i="4"/>
  <c r="E694" i="4" s="1"/>
  <c r="D695" i="4"/>
  <c r="E695" i="4" s="1"/>
  <c r="D696" i="4"/>
  <c r="E696" i="4" s="1"/>
  <c r="D697" i="4"/>
  <c r="E697" i="4" s="1"/>
  <c r="D698" i="4"/>
  <c r="E698" i="4" s="1"/>
  <c r="D699" i="4"/>
  <c r="E699" i="4" s="1"/>
  <c r="D700" i="4"/>
  <c r="E700" i="4" s="1"/>
  <c r="D701" i="4"/>
  <c r="E701" i="4" s="1"/>
  <c r="D702" i="4"/>
  <c r="E702" i="4" s="1"/>
  <c r="D703" i="4"/>
  <c r="E703" i="4" s="1"/>
  <c r="D704" i="4"/>
  <c r="E704" i="4" s="1"/>
  <c r="D705" i="4"/>
  <c r="E705" i="4" s="1"/>
  <c r="D706" i="4"/>
  <c r="E706" i="4" s="1"/>
  <c r="D707" i="4"/>
  <c r="E707" i="4" s="1"/>
  <c r="D708" i="4"/>
  <c r="E708" i="4" s="1"/>
  <c r="D709" i="4"/>
  <c r="E709" i="4" s="1"/>
  <c r="D710" i="4"/>
  <c r="E710" i="4" s="1"/>
  <c r="D711" i="4"/>
  <c r="E711" i="4" s="1"/>
  <c r="D712" i="4"/>
  <c r="E712" i="4" s="1"/>
  <c r="D713" i="4"/>
  <c r="E713" i="4" s="1"/>
  <c r="D714" i="4"/>
  <c r="E714" i="4" s="1"/>
  <c r="D715" i="4"/>
  <c r="E715" i="4" s="1"/>
  <c r="D716" i="4"/>
  <c r="E716" i="4" s="1"/>
  <c r="D717" i="4"/>
  <c r="E717" i="4" s="1"/>
  <c r="D718" i="4"/>
  <c r="E718" i="4" s="1"/>
  <c r="D719" i="4"/>
  <c r="E719" i="4" s="1"/>
  <c r="D720" i="4"/>
  <c r="E720" i="4" s="1"/>
  <c r="D721" i="4"/>
  <c r="E721" i="4" s="1"/>
  <c r="D722" i="4"/>
  <c r="E722" i="4" s="1"/>
  <c r="D723" i="4"/>
  <c r="E723" i="4" s="1"/>
  <c r="D724" i="4"/>
  <c r="E724" i="4" s="1"/>
  <c r="D725" i="4"/>
  <c r="E725" i="4" s="1"/>
  <c r="D726" i="4"/>
  <c r="E726" i="4" s="1"/>
  <c r="D727" i="4"/>
  <c r="E727" i="4" s="1"/>
  <c r="D728" i="4"/>
  <c r="E728" i="4" s="1"/>
  <c r="D729" i="4"/>
  <c r="E729" i="4" s="1"/>
  <c r="D730" i="4"/>
  <c r="E730" i="4" s="1"/>
  <c r="D731" i="4"/>
  <c r="E731" i="4" s="1"/>
  <c r="D732" i="4"/>
  <c r="E732" i="4" s="1"/>
  <c r="D733" i="4"/>
  <c r="E733" i="4" s="1"/>
  <c r="D734" i="4"/>
  <c r="E734" i="4" s="1"/>
  <c r="D735" i="4"/>
  <c r="E735" i="4" s="1"/>
  <c r="D736" i="4"/>
  <c r="E736" i="4" s="1"/>
  <c r="D737" i="4"/>
  <c r="E737" i="4" s="1"/>
  <c r="D738" i="4"/>
  <c r="E738" i="4" s="1"/>
  <c r="D739" i="4"/>
  <c r="E739" i="4" s="1"/>
  <c r="D740" i="4"/>
  <c r="E740" i="4" s="1"/>
  <c r="D741" i="4"/>
  <c r="E741" i="4" s="1"/>
  <c r="D742" i="4"/>
  <c r="E742" i="4" s="1"/>
  <c r="D743" i="4"/>
  <c r="E743" i="4" s="1"/>
  <c r="D744" i="4"/>
  <c r="E744" i="4" s="1"/>
  <c r="D745" i="4"/>
  <c r="E745" i="4" s="1"/>
  <c r="D746" i="4"/>
  <c r="E746" i="4" s="1"/>
  <c r="D747" i="4"/>
  <c r="E747" i="4" s="1"/>
  <c r="D748" i="4"/>
  <c r="E748" i="4" s="1"/>
  <c r="D749" i="4"/>
  <c r="E749" i="4" s="1"/>
  <c r="D750" i="4"/>
  <c r="E750" i="4" s="1"/>
  <c r="D751" i="4"/>
  <c r="E751" i="4" s="1"/>
  <c r="D752" i="4"/>
  <c r="E752" i="4" s="1"/>
  <c r="D753" i="4"/>
  <c r="E753" i="4" s="1"/>
  <c r="D754" i="4"/>
  <c r="E754" i="4" s="1"/>
  <c r="D755" i="4"/>
  <c r="E755" i="4" s="1"/>
  <c r="D756" i="4"/>
  <c r="E756" i="4" s="1"/>
  <c r="D757" i="4"/>
  <c r="E757" i="4" s="1"/>
  <c r="D758" i="4"/>
  <c r="E758" i="4" s="1"/>
  <c r="D759" i="4"/>
  <c r="E759" i="4" s="1"/>
  <c r="D760" i="4"/>
  <c r="E760" i="4" s="1"/>
  <c r="D761" i="4"/>
  <c r="E761" i="4" s="1"/>
  <c r="D762" i="4"/>
  <c r="E762" i="4" s="1"/>
  <c r="D763" i="4"/>
  <c r="E763" i="4" s="1"/>
  <c r="D764" i="4"/>
  <c r="E764" i="4" s="1"/>
  <c r="D765" i="4"/>
  <c r="E765" i="4" s="1"/>
  <c r="D766" i="4"/>
  <c r="E766" i="4" s="1"/>
  <c r="D767" i="4"/>
  <c r="E767" i="4" s="1"/>
  <c r="D768" i="4"/>
  <c r="E768" i="4" s="1"/>
  <c r="D769" i="4"/>
  <c r="E769" i="4" s="1"/>
  <c r="D770" i="4"/>
  <c r="E770" i="4" s="1"/>
  <c r="D771" i="4"/>
  <c r="E771" i="4" s="1"/>
  <c r="D772" i="4"/>
  <c r="E772" i="4" s="1"/>
  <c r="D773" i="4"/>
  <c r="E773" i="4" s="1"/>
  <c r="D774" i="4"/>
  <c r="E774" i="4" s="1"/>
  <c r="D775" i="4"/>
  <c r="E775" i="4" s="1"/>
  <c r="D776" i="4"/>
  <c r="E776" i="4" s="1"/>
  <c r="D777" i="4"/>
  <c r="E777" i="4" s="1"/>
  <c r="D778" i="4"/>
  <c r="E778" i="4" s="1"/>
  <c r="D779" i="4"/>
  <c r="E779" i="4" s="1"/>
  <c r="D780" i="4"/>
  <c r="E780" i="4" s="1"/>
  <c r="D781" i="4"/>
  <c r="E781" i="4" s="1"/>
  <c r="D782" i="4"/>
  <c r="E782" i="4" s="1"/>
  <c r="D783" i="4"/>
  <c r="E783" i="4" s="1"/>
  <c r="D784" i="4"/>
  <c r="E784" i="4" s="1"/>
  <c r="D785" i="4"/>
  <c r="E785" i="4" s="1"/>
  <c r="D786" i="4"/>
  <c r="E786" i="4" s="1"/>
  <c r="D787" i="4"/>
  <c r="E787" i="4" s="1"/>
  <c r="D788" i="4"/>
  <c r="E788" i="4" s="1"/>
  <c r="D789" i="4"/>
  <c r="E789" i="4" s="1"/>
  <c r="D790" i="4"/>
  <c r="E790" i="4" s="1"/>
  <c r="D791" i="4"/>
  <c r="E791" i="4" s="1"/>
  <c r="D792" i="4"/>
  <c r="E792" i="4" s="1"/>
  <c r="D793" i="4"/>
  <c r="E793" i="4" s="1"/>
  <c r="D794" i="4"/>
  <c r="E794" i="4" s="1"/>
  <c r="D795" i="4"/>
  <c r="E795" i="4" s="1"/>
  <c r="D796" i="4"/>
  <c r="E796" i="4" s="1"/>
  <c r="D797" i="4"/>
  <c r="E797" i="4" s="1"/>
  <c r="D798" i="4"/>
  <c r="E798" i="4" s="1"/>
  <c r="D799" i="4"/>
  <c r="E799" i="4" s="1"/>
  <c r="D800" i="4"/>
  <c r="E800" i="4" s="1"/>
  <c r="D801" i="4"/>
  <c r="E801" i="4" s="1"/>
  <c r="D802" i="4"/>
  <c r="E802" i="4" s="1"/>
  <c r="D803" i="4"/>
  <c r="E803" i="4" s="1"/>
  <c r="D804" i="4"/>
  <c r="E804" i="4" s="1"/>
  <c r="D805" i="4"/>
  <c r="E805" i="4" s="1"/>
  <c r="D806" i="4"/>
  <c r="E806" i="4" s="1"/>
  <c r="D807" i="4"/>
  <c r="E807" i="4" s="1"/>
  <c r="D808" i="4"/>
  <c r="E808" i="4" s="1"/>
  <c r="D809" i="4"/>
  <c r="E809" i="4" s="1"/>
  <c r="D810" i="4"/>
  <c r="E810" i="4" s="1"/>
  <c r="D811" i="4"/>
  <c r="E811" i="4" s="1"/>
  <c r="D812" i="4"/>
  <c r="E812" i="4" s="1"/>
  <c r="D813" i="4"/>
  <c r="E813" i="4" s="1"/>
  <c r="D814" i="4"/>
  <c r="E814" i="4" s="1"/>
  <c r="D815" i="4"/>
  <c r="E815" i="4" s="1"/>
  <c r="D816" i="4"/>
  <c r="E816" i="4" s="1"/>
  <c r="D817" i="4"/>
  <c r="E817" i="4" s="1"/>
  <c r="D818" i="4"/>
  <c r="E818" i="4" s="1"/>
  <c r="D819" i="4"/>
  <c r="E819" i="4" s="1"/>
  <c r="D820" i="4"/>
  <c r="E820" i="4" s="1"/>
  <c r="D821" i="4"/>
  <c r="E821" i="4" s="1"/>
  <c r="D822" i="4"/>
  <c r="E822" i="4" s="1"/>
  <c r="D823" i="4"/>
  <c r="E823" i="4" s="1"/>
  <c r="D824" i="4"/>
  <c r="E824" i="4" s="1"/>
  <c r="D825" i="4"/>
  <c r="E825" i="4" s="1"/>
  <c r="D826" i="4"/>
  <c r="E826" i="4" s="1"/>
  <c r="D827" i="4"/>
  <c r="E827" i="4" s="1"/>
  <c r="D828" i="4"/>
  <c r="E828" i="4" s="1"/>
  <c r="D829" i="4"/>
  <c r="E829" i="4" s="1"/>
  <c r="D830" i="4"/>
  <c r="E830" i="4" s="1"/>
  <c r="D831" i="4"/>
  <c r="E831" i="4" s="1"/>
  <c r="D832" i="4"/>
  <c r="E832" i="4" s="1"/>
  <c r="D833" i="4"/>
  <c r="E833" i="4" s="1"/>
  <c r="D834" i="4"/>
  <c r="E834" i="4" s="1"/>
  <c r="D835" i="4"/>
  <c r="E835" i="4" s="1"/>
  <c r="D836" i="4"/>
  <c r="E836" i="4" s="1"/>
  <c r="D837" i="4"/>
  <c r="E837" i="4" s="1"/>
  <c r="D838" i="4"/>
  <c r="E838" i="4" s="1"/>
  <c r="D839" i="4"/>
  <c r="E839" i="4" s="1"/>
  <c r="D840" i="4"/>
  <c r="E840" i="4" s="1"/>
  <c r="D841" i="4"/>
  <c r="E841" i="4" s="1"/>
  <c r="D842" i="4"/>
  <c r="E842" i="4" s="1"/>
  <c r="D843" i="4"/>
  <c r="E843" i="4" s="1"/>
  <c r="D844" i="4"/>
  <c r="E844" i="4" s="1"/>
  <c r="D845" i="4"/>
  <c r="E845" i="4" s="1"/>
  <c r="D846" i="4"/>
  <c r="E846" i="4" s="1"/>
  <c r="D847" i="4"/>
  <c r="E847" i="4" s="1"/>
  <c r="D848" i="4"/>
  <c r="E848" i="4" s="1"/>
  <c r="D849" i="4"/>
  <c r="E849" i="4" s="1"/>
  <c r="D850" i="4"/>
  <c r="E850" i="4" s="1"/>
  <c r="D851" i="4"/>
  <c r="E851" i="4" s="1"/>
  <c r="D852" i="4"/>
  <c r="E852" i="4" s="1"/>
  <c r="D853" i="4"/>
  <c r="E853" i="4" s="1"/>
  <c r="D854" i="4"/>
  <c r="E854" i="4" s="1"/>
  <c r="D855" i="4"/>
  <c r="E855" i="4" s="1"/>
  <c r="D856" i="4"/>
  <c r="E856" i="4" s="1"/>
  <c r="D857" i="4"/>
  <c r="E857" i="4" s="1"/>
  <c r="D858" i="4"/>
  <c r="E858" i="4" s="1"/>
  <c r="D859" i="4"/>
  <c r="E859" i="4" s="1"/>
  <c r="D860" i="4"/>
  <c r="E860" i="4" s="1"/>
  <c r="D861" i="4"/>
  <c r="E861" i="4" s="1"/>
  <c r="D862" i="4"/>
  <c r="E862" i="4" s="1"/>
  <c r="D863" i="4"/>
  <c r="E863" i="4" s="1"/>
  <c r="D864" i="4"/>
  <c r="E864" i="4" s="1"/>
  <c r="D865" i="4"/>
  <c r="E865" i="4" s="1"/>
  <c r="D866" i="4"/>
  <c r="E866" i="4" s="1"/>
  <c r="D867" i="4"/>
  <c r="E867" i="4" s="1"/>
  <c r="D868" i="4"/>
  <c r="E868" i="4" s="1"/>
  <c r="D869" i="4"/>
  <c r="E869" i="4" s="1"/>
  <c r="D870" i="4"/>
  <c r="E870" i="4" s="1"/>
  <c r="D871" i="4"/>
  <c r="E871" i="4" s="1"/>
  <c r="D872" i="4"/>
  <c r="E872" i="4" s="1"/>
  <c r="D873" i="4"/>
  <c r="E873" i="4" s="1"/>
  <c r="D874" i="4"/>
  <c r="E874" i="4" s="1"/>
  <c r="D875" i="4"/>
  <c r="E875" i="4" s="1"/>
  <c r="D876" i="4"/>
  <c r="E876" i="4" s="1"/>
  <c r="D877" i="4"/>
  <c r="E877" i="4" s="1"/>
  <c r="D878" i="4"/>
  <c r="E878" i="4" s="1"/>
  <c r="D879" i="4"/>
  <c r="E879" i="4" s="1"/>
  <c r="D880" i="4"/>
  <c r="E880" i="4" s="1"/>
  <c r="D881" i="4"/>
  <c r="E881" i="4" s="1"/>
  <c r="D882" i="4"/>
  <c r="E882" i="4" s="1"/>
  <c r="D883" i="4"/>
  <c r="E883" i="4" s="1"/>
  <c r="D884" i="4"/>
  <c r="E884" i="4" s="1"/>
  <c r="D885" i="4"/>
  <c r="E885" i="4" s="1"/>
  <c r="D886" i="4"/>
  <c r="E886" i="4" s="1"/>
  <c r="D887" i="4"/>
  <c r="E887" i="4" s="1"/>
  <c r="D888" i="4"/>
  <c r="E888" i="4" s="1"/>
  <c r="D889" i="4"/>
  <c r="E889" i="4" s="1"/>
  <c r="D890" i="4"/>
  <c r="E890" i="4" s="1"/>
  <c r="D891" i="4"/>
  <c r="E891" i="4" s="1"/>
  <c r="D892" i="4"/>
  <c r="E892" i="4" s="1"/>
  <c r="D893" i="4"/>
  <c r="E893" i="4" s="1"/>
  <c r="D894" i="4"/>
  <c r="E894" i="4" s="1"/>
  <c r="D895" i="4"/>
  <c r="E895" i="4" s="1"/>
  <c r="D896" i="4"/>
  <c r="E896" i="4" s="1"/>
  <c r="D897" i="4"/>
  <c r="E897" i="4" s="1"/>
  <c r="D898" i="4"/>
  <c r="E898" i="4" s="1"/>
  <c r="D899" i="4"/>
  <c r="E899" i="4" s="1"/>
  <c r="D900" i="4"/>
  <c r="E900" i="4" s="1"/>
  <c r="D901" i="4"/>
  <c r="E901" i="4" s="1"/>
  <c r="D902" i="4"/>
  <c r="E902" i="4" s="1"/>
  <c r="D903" i="4"/>
  <c r="E903" i="4" s="1"/>
  <c r="D904" i="4"/>
  <c r="E904" i="4" s="1"/>
  <c r="D905" i="4"/>
  <c r="E905" i="4" s="1"/>
  <c r="D906" i="4"/>
  <c r="E906" i="4" s="1"/>
  <c r="D907" i="4"/>
  <c r="E907" i="4" s="1"/>
  <c r="D908" i="4"/>
  <c r="E908" i="4" s="1"/>
  <c r="D909" i="4"/>
  <c r="E909" i="4" s="1"/>
  <c r="D910" i="4"/>
  <c r="E910" i="4" s="1"/>
  <c r="D911" i="4"/>
  <c r="E911" i="4" s="1"/>
  <c r="D912" i="4"/>
  <c r="E912" i="4" s="1"/>
  <c r="D913" i="4"/>
  <c r="E913" i="4" s="1"/>
  <c r="D914" i="4"/>
  <c r="E914" i="4" s="1"/>
  <c r="D915" i="4"/>
  <c r="E915" i="4" s="1"/>
  <c r="D916" i="4"/>
  <c r="E916" i="4" s="1"/>
  <c r="D917" i="4"/>
  <c r="E917" i="4" s="1"/>
  <c r="D918" i="4"/>
  <c r="E918" i="4" s="1"/>
  <c r="D919" i="4"/>
  <c r="E919" i="4" s="1"/>
  <c r="D920" i="4"/>
  <c r="E920" i="4" s="1"/>
  <c r="D921" i="4"/>
  <c r="E921" i="4" s="1"/>
  <c r="D922" i="4"/>
  <c r="E922" i="4" s="1"/>
  <c r="D923" i="4"/>
  <c r="E923" i="4" s="1"/>
  <c r="D924" i="4"/>
  <c r="E924" i="4" s="1"/>
  <c r="D925" i="4"/>
  <c r="E925" i="4" s="1"/>
  <c r="D926" i="4"/>
  <c r="E926" i="4" s="1"/>
  <c r="D927" i="4"/>
  <c r="E927" i="4" s="1"/>
  <c r="D928" i="4"/>
  <c r="E928" i="4" s="1"/>
  <c r="D929" i="4"/>
  <c r="E929" i="4" s="1"/>
  <c r="D930" i="4"/>
  <c r="E930" i="4" s="1"/>
  <c r="D931" i="4"/>
  <c r="E931" i="4" s="1"/>
  <c r="D932" i="4"/>
  <c r="E932" i="4" s="1"/>
  <c r="D933" i="4"/>
  <c r="E933" i="4" s="1"/>
  <c r="D934" i="4"/>
  <c r="E934" i="4" s="1"/>
  <c r="D935" i="4"/>
  <c r="E935" i="4" s="1"/>
  <c r="D936" i="4"/>
  <c r="E936" i="4" s="1"/>
  <c r="D937" i="4"/>
  <c r="E937" i="4" s="1"/>
  <c r="D938" i="4"/>
  <c r="E938" i="4" s="1"/>
  <c r="D939" i="4"/>
  <c r="E939" i="4" s="1"/>
  <c r="D940" i="4"/>
  <c r="E940" i="4" s="1"/>
  <c r="D941" i="4"/>
  <c r="E941" i="4" s="1"/>
  <c r="D942" i="4"/>
  <c r="E942" i="4" s="1"/>
  <c r="D943" i="4"/>
  <c r="E943" i="4" s="1"/>
  <c r="D944" i="4"/>
  <c r="E944" i="4" s="1"/>
  <c r="D945" i="4"/>
  <c r="E945" i="4" s="1"/>
  <c r="D946" i="4"/>
  <c r="E946" i="4" s="1"/>
  <c r="D947" i="4"/>
  <c r="E947" i="4" s="1"/>
  <c r="D948" i="4"/>
  <c r="E948" i="4" s="1"/>
  <c r="D949" i="4"/>
  <c r="E949" i="4" s="1"/>
  <c r="D950" i="4"/>
  <c r="E950" i="4" s="1"/>
  <c r="D951" i="4"/>
  <c r="E951" i="4" s="1"/>
  <c r="D952" i="4"/>
  <c r="E952" i="4" s="1"/>
  <c r="D953" i="4"/>
  <c r="E953" i="4" s="1"/>
  <c r="D954" i="4"/>
  <c r="E954" i="4" s="1"/>
  <c r="D955" i="4"/>
  <c r="E955" i="4" s="1"/>
  <c r="D956" i="4"/>
  <c r="E956" i="4" s="1"/>
  <c r="D957" i="4"/>
  <c r="E957" i="4" s="1"/>
  <c r="D958" i="4"/>
  <c r="E958" i="4" s="1"/>
  <c r="D959" i="4"/>
  <c r="E959" i="4" s="1"/>
  <c r="D960" i="4"/>
  <c r="E960" i="4" s="1"/>
  <c r="D961" i="4"/>
  <c r="E961" i="4" s="1"/>
  <c r="D962" i="4"/>
  <c r="E962" i="4" s="1"/>
  <c r="D963" i="4"/>
  <c r="E963" i="4" s="1"/>
  <c r="D964" i="4"/>
  <c r="E964" i="4" s="1"/>
  <c r="D965" i="4"/>
  <c r="E965" i="4" s="1"/>
  <c r="D966" i="4"/>
  <c r="E966" i="4" s="1"/>
  <c r="D967" i="4"/>
  <c r="E967" i="4" s="1"/>
  <c r="D968" i="4"/>
  <c r="E968" i="4" s="1"/>
  <c r="D969" i="4"/>
  <c r="E969" i="4" s="1"/>
  <c r="D970" i="4"/>
  <c r="E970" i="4" s="1"/>
  <c r="D971" i="4"/>
  <c r="E971" i="4" s="1"/>
  <c r="D972" i="4"/>
  <c r="E972" i="4" s="1"/>
  <c r="D973" i="4"/>
  <c r="E973" i="4" s="1"/>
  <c r="D974" i="4"/>
  <c r="E974" i="4" s="1"/>
  <c r="D975" i="4"/>
  <c r="E975" i="4" s="1"/>
  <c r="D976" i="4"/>
  <c r="E976" i="4" s="1"/>
  <c r="D977" i="4"/>
  <c r="E977" i="4" s="1"/>
  <c r="D978" i="4"/>
  <c r="E978" i="4" s="1"/>
  <c r="D979" i="4"/>
  <c r="E979" i="4" s="1"/>
  <c r="D980" i="4"/>
  <c r="E980" i="4" s="1"/>
  <c r="D981" i="4"/>
  <c r="E981" i="4" s="1"/>
  <c r="D982" i="4"/>
  <c r="E982" i="4" s="1"/>
  <c r="D983" i="4"/>
  <c r="E983" i="4" s="1"/>
  <c r="D984" i="4"/>
  <c r="E984" i="4" s="1"/>
  <c r="D985" i="4"/>
  <c r="E985" i="4" s="1"/>
  <c r="D986" i="4"/>
  <c r="E986" i="4" s="1"/>
  <c r="D987" i="4"/>
  <c r="E987" i="4" s="1"/>
  <c r="D988" i="4"/>
  <c r="E988" i="4" s="1"/>
  <c r="D989" i="4"/>
  <c r="E989" i="4" s="1"/>
  <c r="D990" i="4"/>
  <c r="E990" i="4" s="1"/>
  <c r="D991" i="4"/>
  <c r="E991" i="4" s="1"/>
  <c r="D992" i="4"/>
  <c r="E992" i="4" s="1"/>
  <c r="D993" i="4"/>
  <c r="E993" i="4" s="1"/>
  <c r="D994" i="4"/>
  <c r="E994" i="4" s="1"/>
  <c r="D995" i="4"/>
  <c r="E995" i="4" s="1"/>
  <c r="D996" i="4"/>
  <c r="E996" i="4" s="1"/>
  <c r="D997" i="4"/>
  <c r="E997" i="4" s="1"/>
  <c r="D998" i="4"/>
  <c r="E998" i="4" s="1"/>
  <c r="D999" i="4"/>
  <c r="E999" i="4" s="1"/>
  <c r="D1000" i="4"/>
  <c r="E1000" i="4" s="1"/>
  <c r="D1001" i="4"/>
  <c r="E1001" i="4" s="1"/>
  <c r="D1002" i="4"/>
  <c r="E1002" i="4" s="1"/>
  <c r="D1003" i="4"/>
  <c r="E1003" i="4" s="1"/>
  <c r="D1004" i="4"/>
  <c r="E1004" i="4" s="1"/>
  <c r="D1005" i="4"/>
  <c r="E1005" i="4" s="1"/>
  <c r="D1006" i="4"/>
  <c r="E1006" i="4" s="1"/>
  <c r="D1007" i="4"/>
  <c r="E1007" i="4" s="1"/>
  <c r="D1008" i="4"/>
  <c r="E1008" i="4" s="1"/>
  <c r="D1009" i="4"/>
  <c r="E1009" i="4" s="1"/>
  <c r="D1010" i="4"/>
  <c r="E1010" i="4" s="1"/>
  <c r="D1011" i="4"/>
  <c r="E1011" i="4" s="1"/>
  <c r="D1012" i="4"/>
  <c r="E1012" i="4" s="1"/>
  <c r="D1013" i="4"/>
  <c r="E1013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C514" i="4" s="1"/>
  <c r="B515" i="4"/>
  <c r="C515" i="4" s="1"/>
  <c r="B516" i="4"/>
  <c r="C516" i="4" s="1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C523" i="4" s="1"/>
  <c r="B524" i="4"/>
  <c r="C524" i="4" s="1"/>
  <c r="B525" i="4"/>
  <c r="C525" i="4" s="1"/>
  <c r="B526" i="4"/>
  <c r="C526" i="4" s="1"/>
  <c r="B527" i="4"/>
  <c r="C527" i="4" s="1"/>
  <c r="B528" i="4"/>
  <c r="C528" i="4" s="1"/>
  <c r="B529" i="4"/>
  <c r="C529" i="4" s="1"/>
  <c r="B530" i="4"/>
  <c r="C530" i="4" s="1"/>
  <c r="B531" i="4"/>
  <c r="C531" i="4" s="1"/>
  <c r="B532" i="4"/>
  <c r="C532" i="4" s="1"/>
  <c r="B533" i="4"/>
  <c r="C533" i="4" s="1"/>
  <c r="B534" i="4"/>
  <c r="C534" i="4" s="1"/>
  <c r="B535" i="4"/>
  <c r="C535" i="4" s="1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C544" i="4" s="1"/>
  <c r="B545" i="4"/>
  <c r="C545" i="4" s="1"/>
  <c r="B546" i="4"/>
  <c r="C546" i="4" s="1"/>
  <c r="B547" i="4"/>
  <c r="C547" i="4" s="1"/>
  <c r="B548" i="4"/>
  <c r="C548" i="4" s="1"/>
  <c r="B549" i="4"/>
  <c r="C549" i="4" s="1"/>
  <c r="B550" i="4"/>
  <c r="C550" i="4" s="1"/>
  <c r="B551" i="4"/>
  <c r="C551" i="4" s="1"/>
  <c r="B552" i="4"/>
  <c r="C552" i="4" s="1"/>
  <c r="B553" i="4"/>
  <c r="C553" i="4" s="1"/>
  <c r="B554" i="4"/>
  <c r="C554" i="4" s="1"/>
  <c r="B555" i="4"/>
  <c r="C555" i="4" s="1"/>
  <c r="B556" i="4"/>
  <c r="C556" i="4" s="1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B566" i="4"/>
  <c r="C566" i="4" s="1"/>
  <c r="B567" i="4"/>
  <c r="C567" i="4" s="1"/>
  <c r="B568" i="4"/>
  <c r="C568" i="4" s="1"/>
  <c r="B569" i="4"/>
  <c r="C569" i="4" s="1"/>
  <c r="B570" i="4"/>
  <c r="C570" i="4" s="1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C576" i="4" s="1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C588" i="4" s="1"/>
  <c r="B589" i="4"/>
  <c r="C589" i="4" s="1"/>
  <c r="B590" i="4"/>
  <c r="C590" i="4" s="1"/>
  <c r="B591" i="4"/>
  <c r="C591" i="4" s="1"/>
  <c r="B592" i="4"/>
  <c r="C592" i="4" s="1"/>
  <c r="B593" i="4"/>
  <c r="C593" i="4" s="1"/>
  <c r="B594" i="4"/>
  <c r="C594" i="4" s="1"/>
  <c r="B595" i="4"/>
  <c r="C595" i="4" s="1"/>
  <c r="B596" i="4"/>
  <c r="C596" i="4" s="1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C603" i="4" s="1"/>
  <c r="B604" i="4"/>
  <c r="C604" i="4" s="1"/>
  <c r="B605" i="4"/>
  <c r="C605" i="4" s="1"/>
  <c r="B606" i="4"/>
  <c r="C606" i="4" s="1"/>
  <c r="B607" i="4"/>
  <c r="C607" i="4" s="1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C616" i="4" s="1"/>
  <c r="B617" i="4"/>
  <c r="C617" i="4" s="1"/>
  <c r="B618" i="4"/>
  <c r="C618" i="4" s="1"/>
  <c r="B619" i="4"/>
  <c r="C619" i="4" s="1"/>
  <c r="B620" i="4"/>
  <c r="C620" i="4" s="1"/>
  <c r="B621" i="4"/>
  <c r="C621" i="4" s="1"/>
  <c r="B622" i="4"/>
  <c r="C622" i="4" s="1"/>
  <c r="B623" i="4"/>
  <c r="C623" i="4" s="1"/>
  <c r="B624" i="4"/>
  <c r="C624" i="4" s="1"/>
  <c r="B625" i="4"/>
  <c r="C625" i="4" s="1"/>
  <c r="B626" i="4"/>
  <c r="C626" i="4" s="1"/>
  <c r="B627" i="4"/>
  <c r="C627" i="4" s="1"/>
  <c r="B628" i="4"/>
  <c r="C628" i="4" s="1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C643" i="4" s="1"/>
  <c r="B644" i="4"/>
  <c r="C644" i="4" s="1"/>
  <c r="B645" i="4"/>
  <c r="C645" i="4" s="1"/>
  <c r="B646" i="4"/>
  <c r="C646" i="4" s="1"/>
  <c r="B647" i="4"/>
  <c r="C647" i="4" s="1"/>
  <c r="B648" i="4"/>
  <c r="C648" i="4" s="1"/>
  <c r="B649" i="4"/>
  <c r="C649" i="4" s="1"/>
  <c r="B650" i="4"/>
  <c r="C650" i="4" s="1"/>
  <c r="B651" i="4"/>
  <c r="C651" i="4" s="1"/>
  <c r="B652" i="4"/>
  <c r="C652" i="4" s="1"/>
  <c r="B653" i="4"/>
  <c r="C653" i="4" s="1"/>
  <c r="B654" i="4"/>
  <c r="C654" i="4" s="1"/>
  <c r="B655" i="4"/>
  <c r="C655" i="4" s="1"/>
  <c r="B656" i="4"/>
  <c r="C656" i="4" s="1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C663" i="4" s="1"/>
  <c r="B664" i="4"/>
  <c r="C664" i="4" s="1"/>
  <c r="B665" i="4"/>
  <c r="C665" i="4" s="1"/>
  <c r="B666" i="4"/>
  <c r="C666" i="4" s="1"/>
  <c r="B667" i="4"/>
  <c r="C667" i="4" s="1"/>
  <c r="B668" i="4"/>
  <c r="C668" i="4" s="1"/>
  <c r="B669" i="4"/>
  <c r="C669" i="4" s="1"/>
  <c r="B670" i="4"/>
  <c r="C670" i="4" s="1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C676" i="4" s="1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C688" i="4" s="1"/>
  <c r="B689" i="4"/>
  <c r="C689" i="4" s="1"/>
  <c r="B690" i="4"/>
  <c r="C690" i="4" s="1"/>
  <c r="B691" i="4"/>
  <c r="C691" i="4" s="1"/>
  <c r="B692" i="4"/>
  <c r="C692" i="4" s="1"/>
  <c r="B693" i="4"/>
  <c r="C693" i="4" s="1"/>
  <c r="B694" i="4"/>
  <c r="C694" i="4" s="1"/>
  <c r="B695" i="4"/>
  <c r="C695" i="4" s="1"/>
  <c r="B696" i="4"/>
  <c r="C696" i="4" s="1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C703" i="4" s="1"/>
  <c r="B704" i="4"/>
  <c r="C704" i="4" s="1"/>
  <c r="B705" i="4"/>
  <c r="C705" i="4" s="1"/>
  <c r="B706" i="4"/>
  <c r="C706" i="4" s="1"/>
  <c r="B707" i="4"/>
  <c r="C707" i="4" s="1"/>
  <c r="B708" i="4"/>
  <c r="C708" i="4" s="1"/>
  <c r="B709" i="4"/>
  <c r="C709" i="4" s="1"/>
  <c r="B710" i="4"/>
  <c r="C710" i="4" s="1"/>
  <c r="B711" i="4"/>
  <c r="C711" i="4" s="1"/>
  <c r="B712" i="4"/>
  <c r="C712" i="4" s="1"/>
  <c r="B713" i="4"/>
  <c r="C713" i="4" s="1"/>
  <c r="B714" i="4"/>
  <c r="C714" i="4" s="1"/>
  <c r="B715" i="4"/>
  <c r="C715" i="4" s="1"/>
  <c r="B716" i="4"/>
  <c r="C716" i="4" s="1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C723" i="4" s="1"/>
  <c r="B724" i="4"/>
  <c r="C724" i="4" s="1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C732" i="4" s="1"/>
  <c r="B733" i="4"/>
  <c r="C733" i="4" s="1"/>
  <c r="B734" i="4"/>
  <c r="C734" i="4" s="1"/>
  <c r="B735" i="4"/>
  <c r="C735" i="4" s="1"/>
  <c r="B736" i="4"/>
  <c r="C736" i="4" s="1"/>
  <c r="B737" i="4"/>
  <c r="C737" i="4" s="1"/>
  <c r="B738" i="4"/>
  <c r="C738" i="4" s="1"/>
  <c r="B739" i="4"/>
  <c r="C739" i="4" s="1"/>
  <c r="B740" i="4"/>
  <c r="C740" i="4" s="1"/>
  <c r="B741" i="4"/>
  <c r="C741" i="4" s="1"/>
  <c r="B742" i="4"/>
  <c r="C742" i="4" s="1"/>
  <c r="B743" i="4"/>
  <c r="C743" i="4" s="1"/>
  <c r="B744" i="4"/>
  <c r="C744" i="4" s="1"/>
  <c r="B745" i="4"/>
  <c r="C745" i="4" s="1"/>
  <c r="B746" i="4"/>
  <c r="C746" i="4" s="1"/>
  <c r="B747" i="4"/>
  <c r="C747" i="4" s="1"/>
  <c r="B748" i="4"/>
  <c r="C748" i="4" s="1"/>
  <c r="B749" i="4"/>
  <c r="C749" i="4" s="1"/>
  <c r="B750" i="4"/>
  <c r="C750" i="4" s="1"/>
  <c r="B751" i="4"/>
  <c r="C751" i="4" s="1"/>
  <c r="B752" i="4"/>
  <c r="C752" i="4" s="1"/>
  <c r="B753" i="4"/>
  <c r="C753" i="4" s="1"/>
  <c r="B754" i="4"/>
  <c r="C754" i="4" s="1"/>
  <c r="B755" i="4"/>
  <c r="C755" i="4" s="1"/>
  <c r="B756" i="4"/>
  <c r="C756" i="4" s="1"/>
  <c r="B757" i="4"/>
  <c r="C757" i="4" s="1"/>
  <c r="B758" i="4"/>
  <c r="C758" i="4" s="1"/>
  <c r="B759" i="4"/>
  <c r="C759" i="4" s="1"/>
  <c r="B760" i="4"/>
  <c r="C760" i="4" s="1"/>
  <c r="B761" i="4"/>
  <c r="C761" i="4" s="1"/>
  <c r="B762" i="4"/>
  <c r="C762" i="4" s="1"/>
  <c r="B763" i="4"/>
  <c r="C763" i="4" s="1"/>
  <c r="B764" i="4"/>
  <c r="C764" i="4" s="1"/>
  <c r="B765" i="4"/>
  <c r="C765" i="4" s="1"/>
  <c r="B766" i="4"/>
  <c r="C766" i="4" s="1"/>
  <c r="B767" i="4"/>
  <c r="C767" i="4" s="1"/>
  <c r="B768" i="4"/>
  <c r="C768" i="4" s="1"/>
  <c r="B769" i="4"/>
  <c r="C769" i="4" s="1"/>
  <c r="B770" i="4"/>
  <c r="C770" i="4" s="1"/>
  <c r="B771" i="4"/>
  <c r="C771" i="4" s="1"/>
  <c r="B772" i="4"/>
  <c r="C772" i="4" s="1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C779" i="4" s="1"/>
  <c r="B780" i="4"/>
  <c r="C780" i="4" s="1"/>
  <c r="B781" i="4"/>
  <c r="C781" i="4" s="1"/>
  <c r="B782" i="4"/>
  <c r="C782" i="4" s="1"/>
  <c r="B783" i="4"/>
  <c r="C783" i="4" s="1"/>
  <c r="B784" i="4"/>
  <c r="C784" i="4" s="1"/>
  <c r="B785" i="4"/>
  <c r="C785" i="4" s="1"/>
  <c r="B786" i="4"/>
  <c r="C786" i="4" s="1"/>
  <c r="B787" i="4"/>
  <c r="C787" i="4" s="1"/>
  <c r="B788" i="4"/>
  <c r="C788" i="4" s="1"/>
  <c r="B789" i="4"/>
  <c r="C789" i="4" s="1"/>
  <c r="B790" i="4"/>
  <c r="C790" i="4" s="1"/>
  <c r="B791" i="4"/>
  <c r="C791" i="4" s="1"/>
  <c r="B792" i="4"/>
  <c r="C792" i="4" s="1"/>
  <c r="B793" i="4"/>
  <c r="C793" i="4" s="1"/>
  <c r="B794" i="4"/>
  <c r="C794" i="4" s="1"/>
  <c r="B795" i="4"/>
  <c r="C795" i="4" s="1"/>
  <c r="B796" i="4"/>
  <c r="C796" i="4" s="1"/>
  <c r="B797" i="4"/>
  <c r="C797" i="4" s="1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C803" i="4" s="1"/>
  <c r="B804" i="4"/>
  <c r="C804" i="4" s="1"/>
  <c r="B805" i="4"/>
  <c r="C805" i="4" s="1"/>
  <c r="B806" i="4"/>
  <c r="C806" i="4" s="1"/>
  <c r="B807" i="4"/>
  <c r="C807" i="4" s="1"/>
  <c r="B808" i="4"/>
  <c r="C808" i="4" s="1"/>
  <c r="B809" i="4"/>
  <c r="C809" i="4" s="1"/>
  <c r="B810" i="4"/>
  <c r="C810" i="4" s="1"/>
  <c r="B811" i="4"/>
  <c r="C811" i="4" s="1"/>
  <c r="B812" i="4"/>
  <c r="C812" i="4" s="1"/>
  <c r="B813" i="4"/>
  <c r="C813" i="4" s="1"/>
  <c r="B814" i="4"/>
  <c r="C814" i="4" s="1"/>
  <c r="B815" i="4"/>
  <c r="C815" i="4" s="1"/>
  <c r="B816" i="4"/>
  <c r="C816" i="4" s="1"/>
  <c r="B817" i="4"/>
  <c r="C817" i="4" s="1"/>
  <c r="B818" i="4"/>
  <c r="C818" i="4" s="1"/>
  <c r="B819" i="4"/>
  <c r="C819" i="4" s="1"/>
  <c r="B820" i="4"/>
  <c r="C820" i="4" s="1"/>
  <c r="B821" i="4"/>
  <c r="C821" i="4" s="1"/>
  <c r="B822" i="4"/>
  <c r="C822" i="4" s="1"/>
  <c r="B823" i="4"/>
  <c r="C823" i="4" s="1"/>
  <c r="B824" i="4"/>
  <c r="C824" i="4" s="1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C831" i="4" s="1"/>
  <c r="B832" i="4"/>
  <c r="C832" i="4" s="1"/>
  <c r="B833" i="4"/>
  <c r="C833" i="4" s="1"/>
  <c r="B834" i="4"/>
  <c r="C834" i="4" s="1"/>
  <c r="B835" i="4"/>
  <c r="C835" i="4" s="1"/>
  <c r="B836" i="4"/>
  <c r="C836" i="4" s="1"/>
  <c r="B837" i="4"/>
  <c r="C837" i="4" s="1"/>
  <c r="B838" i="4"/>
  <c r="C838" i="4" s="1"/>
  <c r="B839" i="4"/>
  <c r="C839" i="4" s="1"/>
  <c r="B840" i="4"/>
  <c r="C840" i="4" s="1"/>
  <c r="B841" i="4"/>
  <c r="C841" i="4" s="1"/>
  <c r="B842" i="4"/>
  <c r="C842" i="4" s="1"/>
  <c r="B843" i="4"/>
  <c r="C843" i="4" s="1"/>
  <c r="B844" i="4"/>
  <c r="C844" i="4" s="1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C851" i="4" s="1"/>
  <c r="B852" i="4"/>
  <c r="C852" i="4" s="1"/>
  <c r="B853" i="4"/>
  <c r="C853" i="4" s="1"/>
  <c r="B854" i="4"/>
  <c r="C854" i="4" s="1"/>
  <c r="B855" i="4"/>
  <c r="C855" i="4" s="1"/>
  <c r="B856" i="4"/>
  <c r="C856" i="4" s="1"/>
  <c r="B857" i="4"/>
  <c r="C857" i="4" s="1"/>
  <c r="B858" i="4"/>
  <c r="C858" i="4" s="1"/>
  <c r="B859" i="4"/>
  <c r="C859" i="4" s="1"/>
  <c r="B860" i="4"/>
  <c r="C860" i="4" s="1"/>
  <c r="B861" i="4"/>
  <c r="C861" i="4" s="1"/>
  <c r="B862" i="4"/>
  <c r="C862" i="4" s="1"/>
  <c r="B863" i="4"/>
  <c r="C863" i="4" s="1"/>
  <c r="B864" i="4"/>
  <c r="C864" i="4" s="1"/>
  <c r="B865" i="4"/>
  <c r="C865" i="4" s="1"/>
  <c r="B866" i="4"/>
  <c r="C866" i="4" s="1"/>
  <c r="B867" i="4"/>
  <c r="C867" i="4" s="1"/>
  <c r="B868" i="4"/>
  <c r="C868" i="4" s="1"/>
  <c r="B869" i="4"/>
  <c r="C869" i="4" s="1"/>
  <c r="B870" i="4"/>
  <c r="C870" i="4" s="1"/>
  <c r="B871" i="4"/>
  <c r="C871" i="4" s="1"/>
  <c r="B872" i="4"/>
  <c r="C872" i="4" s="1"/>
  <c r="B873" i="4"/>
  <c r="C873" i="4" s="1"/>
  <c r="B874" i="4"/>
  <c r="C874" i="4" s="1"/>
  <c r="B875" i="4"/>
  <c r="C875" i="4" s="1"/>
  <c r="B876" i="4"/>
  <c r="C876" i="4" s="1"/>
  <c r="B877" i="4"/>
  <c r="C877" i="4" s="1"/>
  <c r="B878" i="4"/>
  <c r="C878" i="4" s="1"/>
  <c r="B879" i="4"/>
  <c r="C879" i="4" s="1"/>
  <c r="B880" i="4"/>
  <c r="C880" i="4" s="1"/>
  <c r="B881" i="4"/>
  <c r="C881" i="4" s="1"/>
  <c r="B882" i="4"/>
  <c r="C882" i="4" s="1"/>
  <c r="B883" i="4"/>
  <c r="C883" i="4" s="1"/>
  <c r="B884" i="4"/>
  <c r="C884" i="4" s="1"/>
  <c r="B885" i="4"/>
  <c r="C885" i="4" s="1"/>
  <c r="B886" i="4"/>
  <c r="C886" i="4" s="1"/>
  <c r="B887" i="4"/>
  <c r="C887" i="4" s="1"/>
  <c r="B888" i="4"/>
  <c r="C888" i="4" s="1"/>
  <c r="B889" i="4"/>
  <c r="C889" i="4" s="1"/>
  <c r="B890" i="4"/>
  <c r="C890" i="4" s="1"/>
  <c r="B891" i="4"/>
  <c r="C891" i="4" s="1"/>
  <c r="B892" i="4"/>
  <c r="C892" i="4" s="1"/>
  <c r="B893" i="4"/>
  <c r="C893" i="4" s="1"/>
  <c r="B894" i="4"/>
  <c r="C894" i="4" s="1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C904" i="4" s="1"/>
  <c r="B905" i="4"/>
  <c r="C905" i="4" s="1"/>
  <c r="B906" i="4"/>
  <c r="C906" i="4" s="1"/>
  <c r="B907" i="4"/>
  <c r="C907" i="4" s="1"/>
  <c r="B908" i="4"/>
  <c r="C908" i="4" s="1"/>
  <c r="B909" i="4"/>
  <c r="C909" i="4" s="1"/>
  <c r="B910" i="4"/>
  <c r="C910" i="4" s="1"/>
  <c r="B911" i="4"/>
  <c r="C911" i="4" s="1"/>
  <c r="B912" i="4"/>
  <c r="C912" i="4" s="1"/>
  <c r="B913" i="4"/>
  <c r="C913" i="4" s="1"/>
  <c r="B914" i="4"/>
  <c r="C914" i="4" s="1"/>
  <c r="B915" i="4"/>
  <c r="C915" i="4" s="1"/>
  <c r="B916" i="4"/>
  <c r="C916" i="4" s="1"/>
  <c r="B917" i="4"/>
  <c r="C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C923" i="4" s="1"/>
  <c r="B924" i="4"/>
  <c r="C924" i="4" s="1"/>
  <c r="B925" i="4"/>
  <c r="C925" i="4" s="1"/>
  <c r="B926" i="4"/>
  <c r="C926" i="4" s="1"/>
  <c r="B927" i="4"/>
  <c r="C927" i="4" s="1"/>
  <c r="B928" i="4"/>
  <c r="C928" i="4" s="1"/>
  <c r="B929" i="4"/>
  <c r="C929" i="4" s="1"/>
  <c r="B930" i="4"/>
  <c r="C930" i="4" s="1"/>
  <c r="B931" i="4"/>
  <c r="C931" i="4" s="1"/>
  <c r="B932" i="4"/>
  <c r="C932" i="4" s="1"/>
  <c r="B933" i="4"/>
  <c r="C933" i="4" s="1"/>
  <c r="B934" i="4"/>
  <c r="C934" i="4" s="1"/>
  <c r="B935" i="4"/>
  <c r="C935" i="4" s="1"/>
  <c r="B936" i="4"/>
  <c r="C936" i="4" s="1"/>
  <c r="B937" i="4"/>
  <c r="C937" i="4" s="1"/>
  <c r="B938" i="4"/>
  <c r="C938" i="4" s="1"/>
  <c r="B939" i="4"/>
  <c r="C939" i="4" s="1"/>
  <c r="B940" i="4"/>
  <c r="C940" i="4" s="1"/>
  <c r="B941" i="4"/>
  <c r="C941" i="4" s="1"/>
  <c r="B942" i="4"/>
  <c r="C942" i="4" s="1"/>
  <c r="B943" i="4"/>
  <c r="C943" i="4" s="1"/>
  <c r="B944" i="4"/>
  <c r="C944" i="4" s="1"/>
  <c r="B945" i="4"/>
  <c r="C945" i="4" s="1"/>
  <c r="B946" i="4"/>
  <c r="C946" i="4" s="1"/>
  <c r="B947" i="4"/>
  <c r="C947" i="4" s="1"/>
  <c r="B948" i="4"/>
  <c r="C948" i="4" s="1"/>
  <c r="B949" i="4"/>
  <c r="C949" i="4" s="1"/>
  <c r="B950" i="4"/>
  <c r="C950" i="4" s="1"/>
  <c r="B951" i="4"/>
  <c r="C951" i="4" s="1"/>
  <c r="B952" i="4"/>
  <c r="C952" i="4" s="1"/>
  <c r="B953" i="4"/>
  <c r="C953" i="4" s="1"/>
  <c r="B954" i="4"/>
  <c r="C954" i="4" s="1"/>
  <c r="B955" i="4"/>
  <c r="C955" i="4" s="1"/>
  <c r="B956" i="4"/>
  <c r="C956" i="4" s="1"/>
  <c r="B957" i="4"/>
  <c r="C957" i="4" s="1"/>
  <c r="B958" i="4"/>
  <c r="C958" i="4" s="1"/>
  <c r="B959" i="4"/>
  <c r="C959" i="4" s="1"/>
  <c r="B960" i="4"/>
  <c r="C960" i="4" s="1"/>
  <c r="B961" i="4"/>
  <c r="C961" i="4" s="1"/>
  <c r="B962" i="4"/>
  <c r="C962" i="4" s="1"/>
  <c r="B963" i="4"/>
  <c r="C963" i="4" s="1"/>
  <c r="B964" i="4"/>
  <c r="C964" i="4" s="1"/>
  <c r="B965" i="4"/>
  <c r="C965" i="4" s="1"/>
  <c r="B966" i="4"/>
  <c r="C966" i="4" s="1"/>
  <c r="B967" i="4"/>
  <c r="C967" i="4" s="1"/>
  <c r="B968" i="4"/>
  <c r="C968" i="4" s="1"/>
  <c r="B969" i="4"/>
  <c r="C969" i="4" s="1"/>
  <c r="B970" i="4"/>
  <c r="C970" i="4" s="1"/>
  <c r="B971" i="4"/>
  <c r="C971" i="4" s="1"/>
  <c r="B972" i="4"/>
  <c r="C972" i="4" s="1"/>
  <c r="B973" i="4"/>
  <c r="C973" i="4" s="1"/>
  <c r="B974" i="4"/>
  <c r="C974" i="4" s="1"/>
  <c r="B975" i="4"/>
  <c r="C975" i="4" s="1"/>
  <c r="B976" i="4"/>
  <c r="C976" i="4" s="1"/>
  <c r="B977" i="4"/>
  <c r="C977" i="4" s="1"/>
  <c r="B978" i="4"/>
  <c r="C978" i="4" s="1"/>
  <c r="B979" i="4"/>
  <c r="C979" i="4" s="1"/>
  <c r="B980" i="4"/>
  <c r="C980" i="4" s="1"/>
  <c r="B981" i="4"/>
  <c r="C981" i="4" s="1"/>
  <c r="B982" i="4"/>
  <c r="C982" i="4" s="1"/>
  <c r="B983" i="4"/>
  <c r="C983" i="4" s="1"/>
  <c r="B984" i="4"/>
  <c r="C984" i="4" s="1"/>
  <c r="B985" i="4"/>
  <c r="C985" i="4" s="1"/>
  <c r="B986" i="4"/>
  <c r="C986" i="4" s="1"/>
  <c r="B987" i="4"/>
  <c r="C987" i="4" s="1"/>
  <c r="B988" i="4"/>
  <c r="C988" i="4" s="1"/>
  <c r="B989" i="4"/>
  <c r="C989" i="4" s="1"/>
  <c r="B990" i="4"/>
  <c r="C990" i="4" s="1"/>
  <c r="B991" i="4"/>
  <c r="C991" i="4" s="1"/>
  <c r="B992" i="4"/>
  <c r="C992" i="4" s="1"/>
  <c r="B993" i="4"/>
  <c r="C993" i="4" s="1"/>
  <c r="B994" i="4"/>
  <c r="C994" i="4" s="1"/>
  <c r="B995" i="4"/>
  <c r="C995" i="4" s="1"/>
  <c r="B996" i="4"/>
  <c r="C996" i="4" s="1"/>
  <c r="B997" i="4"/>
  <c r="C997" i="4" s="1"/>
  <c r="B998" i="4"/>
  <c r="C998" i="4" s="1"/>
  <c r="B999" i="4"/>
  <c r="C999" i="4" s="1"/>
  <c r="B1000" i="4"/>
  <c r="C1000" i="4" s="1"/>
  <c r="B1001" i="4"/>
  <c r="C1001" i="4" s="1"/>
  <c r="B1002" i="4"/>
  <c r="C1002" i="4" s="1"/>
  <c r="B1003" i="4"/>
  <c r="C1003" i="4" s="1"/>
  <c r="B1004" i="4"/>
  <c r="C1004" i="4" s="1"/>
  <c r="B1005" i="4"/>
  <c r="C1005" i="4" s="1"/>
  <c r="B1006" i="4"/>
  <c r="C1006" i="4" s="1"/>
  <c r="B1007" i="4"/>
  <c r="C1007" i="4" s="1"/>
  <c r="B1008" i="4"/>
  <c r="C1008" i="4" s="1"/>
  <c r="B1009" i="4"/>
  <c r="C1009" i="4" s="1"/>
  <c r="B1010" i="4"/>
  <c r="C1010" i="4" s="1"/>
  <c r="B1011" i="4"/>
  <c r="C1011" i="4" s="1"/>
  <c r="B1012" i="4"/>
  <c r="C1012" i="4" s="1"/>
  <c r="B1013" i="4"/>
  <c r="C1013" i="4" s="1"/>
  <c r="F14" i="4"/>
  <c r="I14" i="4"/>
  <c r="J14" i="4" s="1"/>
  <c r="D14" i="4"/>
  <c r="E14" i="4" s="1"/>
  <c r="B14" i="4"/>
  <c r="C14" i="4" s="1"/>
  <c r="G8" i="3"/>
  <c r="F8" i="3"/>
  <c r="F13" i="1"/>
  <c r="F14" i="1" s="1"/>
  <c r="D15" i="1" s="1"/>
  <c r="F15" i="1" s="1"/>
  <c r="F12" i="1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8" i="3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4" i="3"/>
  <c r="C74" i="3" s="1"/>
  <c r="B75" i="3"/>
  <c r="C75" i="3" s="1"/>
  <c r="B76" i="3"/>
  <c r="C76" i="3" s="1"/>
  <c r="B77" i="3"/>
  <c r="C77" i="3" s="1"/>
  <c r="B78" i="3"/>
  <c r="C78" i="3" s="1"/>
  <c r="B79" i="3"/>
  <c r="C79" i="3" s="1"/>
  <c r="B80" i="3"/>
  <c r="C80" i="3" s="1"/>
  <c r="B81" i="3"/>
  <c r="C81" i="3" s="1"/>
  <c r="B82" i="3"/>
  <c r="C82" i="3" s="1"/>
  <c r="B83" i="3"/>
  <c r="C83" i="3" s="1"/>
  <c r="B84" i="3"/>
  <c r="C84" i="3" s="1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 s="1"/>
  <c r="B92" i="3"/>
  <c r="C92" i="3" s="1"/>
  <c r="B93" i="3"/>
  <c r="C93" i="3" s="1"/>
  <c r="B94" i="3"/>
  <c r="C94" i="3" s="1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 s="1"/>
  <c r="B102" i="3"/>
  <c r="C102" i="3" s="1"/>
  <c r="B103" i="3"/>
  <c r="C103" i="3" s="1"/>
  <c r="B104" i="3"/>
  <c r="C104" i="3" s="1"/>
  <c r="B105" i="3"/>
  <c r="C105" i="3" s="1"/>
  <c r="B106" i="3"/>
  <c r="C106" i="3" s="1"/>
  <c r="B8" i="3"/>
  <c r="C8" i="3" s="1"/>
  <c r="E8" i="3"/>
  <c r="K102" i="2"/>
  <c r="R4" i="2"/>
  <c r="R8" i="2"/>
  <c r="R6" i="2"/>
  <c r="R3" i="2"/>
  <c r="R5" i="2"/>
  <c r="R7" i="2"/>
  <c r="R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E4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H2" i="2"/>
  <c r="H3" i="2"/>
  <c r="C3" i="2"/>
  <c r="K2" i="2"/>
  <c r="D2" i="2"/>
  <c r="M16" i="2"/>
  <c r="M17" i="2" s="1"/>
  <c r="M4" i="2"/>
  <c r="M5" i="2" s="1"/>
  <c r="M6" i="2" s="1"/>
  <c r="D16" i="1" l="1"/>
  <c r="F16" i="1"/>
  <c r="AA24" i="4"/>
  <c r="L194" i="4"/>
  <c r="O194" i="4" s="1"/>
  <c r="Q194" i="4"/>
  <c r="T194" i="4" s="1"/>
  <c r="L195" i="4"/>
  <c r="O195" i="4" s="1"/>
  <c r="Q195" i="4"/>
  <c r="T195" i="4" s="1"/>
  <c r="L196" i="4"/>
  <c r="O196" i="4" s="1"/>
  <c r="Q196" i="4"/>
  <c r="T196" i="4" s="1"/>
  <c r="L197" i="4"/>
  <c r="O197" i="4" s="1"/>
  <c r="Q197" i="4"/>
  <c r="T197" i="4" s="1"/>
  <c r="L198" i="4"/>
  <c r="O198" i="4" s="1"/>
  <c r="Q198" i="4"/>
  <c r="T198" i="4" s="1"/>
  <c r="L199" i="4"/>
  <c r="O199" i="4" s="1"/>
  <c r="Q199" i="4"/>
  <c r="T199" i="4" s="1"/>
  <c r="L200" i="4"/>
  <c r="O200" i="4" s="1"/>
  <c r="Q200" i="4"/>
  <c r="T200" i="4" s="1"/>
  <c r="L201" i="4"/>
  <c r="O201" i="4" s="1"/>
  <c r="Q201" i="4"/>
  <c r="T201" i="4" s="1"/>
  <c r="L202" i="4"/>
  <c r="O202" i="4" s="1"/>
  <c r="Q202" i="4"/>
  <c r="T202" i="4" s="1"/>
  <c r="L203" i="4"/>
  <c r="O203" i="4" s="1"/>
  <c r="Q203" i="4"/>
  <c r="T203" i="4" s="1"/>
  <c r="L204" i="4"/>
  <c r="O204" i="4" s="1"/>
  <c r="Q204" i="4"/>
  <c r="T204" i="4" s="1"/>
  <c r="L205" i="4"/>
  <c r="O205" i="4" s="1"/>
  <c r="Q205" i="4"/>
  <c r="T205" i="4" s="1"/>
  <c r="L206" i="4"/>
  <c r="O206" i="4" s="1"/>
  <c r="Q206" i="4"/>
  <c r="T206" i="4" s="1"/>
  <c r="L207" i="4"/>
  <c r="O207" i="4" s="1"/>
  <c r="Q207" i="4"/>
  <c r="T207" i="4" s="1"/>
  <c r="L208" i="4"/>
  <c r="O208" i="4" s="1"/>
  <c r="Q208" i="4"/>
  <c r="T208" i="4" s="1"/>
  <c r="L209" i="4"/>
  <c r="O209" i="4" s="1"/>
  <c r="Q209" i="4"/>
  <c r="T209" i="4" s="1"/>
  <c r="L210" i="4"/>
  <c r="O210" i="4" s="1"/>
  <c r="Q210" i="4"/>
  <c r="T210" i="4" s="1"/>
  <c r="L211" i="4"/>
  <c r="O211" i="4" s="1"/>
  <c r="Q211" i="4"/>
  <c r="T211" i="4" s="1"/>
  <c r="L212" i="4"/>
  <c r="O212" i="4" s="1"/>
  <c r="Q212" i="4"/>
  <c r="T212" i="4" s="1"/>
  <c r="L213" i="4"/>
  <c r="O213" i="4" s="1"/>
  <c r="Q213" i="4"/>
  <c r="T213" i="4" s="1"/>
  <c r="L214" i="4"/>
  <c r="O214" i="4" s="1"/>
  <c r="Q214" i="4"/>
  <c r="T214" i="4" s="1"/>
  <c r="L215" i="4"/>
  <c r="O215" i="4" s="1"/>
  <c r="Q215" i="4"/>
  <c r="T215" i="4" s="1"/>
  <c r="L216" i="4"/>
  <c r="O216" i="4" s="1"/>
  <c r="Q216" i="4"/>
  <c r="T216" i="4" s="1"/>
  <c r="L217" i="4"/>
  <c r="O217" i="4" s="1"/>
  <c r="Q217" i="4"/>
  <c r="T217" i="4" s="1"/>
  <c r="L218" i="4"/>
  <c r="O218" i="4" s="1"/>
  <c r="Q218" i="4"/>
  <c r="T218" i="4" s="1"/>
  <c r="L219" i="4"/>
  <c r="O219" i="4" s="1"/>
  <c r="Q219" i="4"/>
  <c r="T219" i="4" s="1"/>
  <c r="L220" i="4"/>
  <c r="O220" i="4" s="1"/>
  <c r="Q220" i="4"/>
  <c r="T220" i="4" s="1"/>
  <c r="L221" i="4"/>
  <c r="O221" i="4" s="1"/>
  <c r="Q221" i="4"/>
  <c r="T221" i="4" s="1"/>
  <c r="L222" i="4"/>
  <c r="O222" i="4" s="1"/>
  <c r="Q222" i="4"/>
  <c r="T222" i="4" s="1"/>
  <c r="L223" i="4"/>
  <c r="O223" i="4" s="1"/>
  <c r="Q223" i="4"/>
  <c r="T223" i="4" s="1"/>
  <c r="L224" i="4"/>
  <c r="O224" i="4" s="1"/>
  <c r="Q224" i="4"/>
  <c r="T224" i="4" s="1"/>
  <c r="L225" i="4"/>
  <c r="O225" i="4" s="1"/>
  <c r="Q225" i="4"/>
  <c r="T225" i="4" s="1"/>
  <c r="L226" i="4"/>
  <c r="O226" i="4" s="1"/>
  <c r="Q226" i="4"/>
  <c r="T226" i="4" s="1"/>
  <c r="L227" i="4"/>
  <c r="O227" i="4" s="1"/>
  <c r="Q227" i="4"/>
  <c r="T227" i="4" s="1"/>
  <c r="L228" i="4"/>
  <c r="O228" i="4" s="1"/>
  <c r="Q228" i="4"/>
  <c r="T228" i="4" s="1"/>
  <c r="L229" i="4"/>
  <c r="O229" i="4" s="1"/>
  <c r="Q229" i="4"/>
  <c r="T229" i="4" s="1"/>
  <c r="L230" i="4"/>
  <c r="O230" i="4" s="1"/>
  <c r="Q230" i="4"/>
  <c r="T230" i="4" s="1"/>
  <c r="L231" i="4"/>
  <c r="O231" i="4" s="1"/>
  <c r="Q231" i="4"/>
  <c r="T231" i="4" s="1"/>
  <c r="L232" i="4"/>
  <c r="O232" i="4" s="1"/>
  <c r="Q232" i="4"/>
  <c r="T232" i="4" s="1"/>
  <c r="L233" i="4"/>
  <c r="O233" i="4" s="1"/>
  <c r="Q233" i="4"/>
  <c r="T233" i="4" s="1"/>
  <c r="L234" i="4"/>
  <c r="O234" i="4" s="1"/>
  <c r="Q234" i="4"/>
  <c r="T234" i="4" s="1"/>
  <c r="L235" i="4"/>
  <c r="O235" i="4" s="1"/>
  <c r="Q235" i="4"/>
  <c r="T235" i="4" s="1"/>
  <c r="L236" i="4"/>
  <c r="O236" i="4" s="1"/>
  <c r="Q236" i="4"/>
  <c r="T236" i="4" s="1"/>
  <c r="L237" i="4"/>
  <c r="O237" i="4" s="1"/>
  <c r="Q237" i="4"/>
  <c r="T237" i="4" s="1"/>
  <c r="L238" i="4"/>
  <c r="O238" i="4" s="1"/>
  <c r="Q238" i="4"/>
  <c r="T238" i="4" s="1"/>
  <c r="L239" i="4"/>
  <c r="O239" i="4" s="1"/>
  <c r="Q239" i="4"/>
  <c r="T239" i="4" s="1"/>
  <c r="L240" i="4"/>
  <c r="O240" i="4" s="1"/>
  <c r="Q240" i="4"/>
  <c r="T240" i="4" s="1"/>
  <c r="L241" i="4"/>
  <c r="O241" i="4" s="1"/>
  <c r="Q241" i="4"/>
  <c r="T241" i="4" s="1"/>
  <c r="L242" i="4"/>
  <c r="O242" i="4" s="1"/>
  <c r="Q242" i="4"/>
  <c r="T242" i="4" s="1"/>
  <c r="L243" i="4"/>
  <c r="O243" i="4" s="1"/>
  <c r="Q243" i="4"/>
  <c r="T243" i="4" s="1"/>
  <c r="L244" i="4"/>
  <c r="O244" i="4" s="1"/>
  <c r="Q244" i="4"/>
  <c r="T244" i="4" s="1"/>
  <c r="L245" i="4"/>
  <c r="O245" i="4" s="1"/>
  <c r="Q245" i="4"/>
  <c r="T245" i="4" s="1"/>
  <c r="L246" i="4"/>
  <c r="O246" i="4" s="1"/>
  <c r="Q246" i="4"/>
  <c r="T246" i="4" s="1"/>
  <c r="L247" i="4"/>
  <c r="O247" i="4" s="1"/>
  <c r="Q247" i="4"/>
  <c r="T247" i="4" s="1"/>
  <c r="L248" i="4"/>
  <c r="O248" i="4" s="1"/>
  <c r="Q248" i="4"/>
  <c r="T248" i="4" s="1"/>
  <c r="L249" i="4"/>
  <c r="O249" i="4" s="1"/>
  <c r="Q249" i="4"/>
  <c r="T249" i="4" s="1"/>
  <c r="L250" i="4"/>
  <c r="O250" i="4" s="1"/>
  <c r="Q250" i="4"/>
  <c r="T250" i="4" s="1"/>
  <c r="L251" i="4"/>
  <c r="O251" i="4" s="1"/>
  <c r="Q251" i="4"/>
  <c r="T251" i="4" s="1"/>
  <c r="L252" i="4"/>
  <c r="O252" i="4" s="1"/>
  <c r="Q252" i="4"/>
  <c r="T252" i="4" s="1"/>
  <c r="L253" i="4"/>
  <c r="O253" i="4" s="1"/>
  <c r="Q253" i="4"/>
  <c r="T253" i="4" s="1"/>
  <c r="L254" i="4"/>
  <c r="O254" i="4" s="1"/>
  <c r="Q254" i="4"/>
  <c r="T254" i="4" s="1"/>
  <c r="L255" i="4"/>
  <c r="O255" i="4" s="1"/>
  <c r="Q255" i="4"/>
  <c r="T255" i="4" s="1"/>
  <c r="L256" i="4"/>
  <c r="O256" i="4" s="1"/>
  <c r="Q256" i="4"/>
  <c r="T256" i="4" s="1"/>
  <c r="L257" i="4"/>
  <c r="O257" i="4" s="1"/>
  <c r="Q257" i="4"/>
  <c r="T257" i="4" s="1"/>
  <c r="L258" i="4"/>
  <c r="O258" i="4" s="1"/>
  <c r="Q258" i="4"/>
  <c r="T258" i="4" s="1"/>
  <c r="L259" i="4"/>
  <c r="O259" i="4" s="1"/>
  <c r="Q259" i="4"/>
  <c r="T259" i="4" s="1"/>
  <c r="L260" i="4"/>
  <c r="O260" i="4" s="1"/>
  <c r="Q260" i="4"/>
  <c r="T260" i="4" s="1"/>
  <c r="L261" i="4"/>
  <c r="O261" i="4" s="1"/>
  <c r="Q261" i="4"/>
  <c r="T261" i="4" s="1"/>
  <c r="L262" i="4"/>
  <c r="O262" i="4" s="1"/>
  <c r="Q262" i="4"/>
  <c r="T262" i="4" s="1"/>
  <c r="L263" i="4"/>
  <c r="O263" i="4" s="1"/>
  <c r="Q263" i="4"/>
  <c r="T263" i="4" s="1"/>
  <c r="L264" i="4"/>
  <c r="O264" i="4" s="1"/>
  <c r="Q264" i="4"/>
  <c r="T264" i="4" s="1"/>
  <c r="L265" i="4"/>
  <c r="O265" i="4" s="1"/>
  <c r="Q265" i="4"/>
  <c r="T265" i="4" s="1"/>
  <c r="L266" i="4"/>
  <c r="O266" i="4" s="1"/>
  <c r="Q266" i="4"/>
  <c r="T266" i="4" s="1"/>
  <c r="L267" i="4"/>
  <c r="O267" i="4" s="1"/>
  <c r="Q267" i="4"/>
  <c r="T267" i="4" s="1"/>
  <c r="L268" i="4"/>
  <c r="O268" i="4" s="1"/>
  <c r="Q268" i="4"/>
  <c r="T268" i="4" s="1"/>
  <c r="L269" i="4"/>
  <c r="O269" i="4" s="1"/>
  <c r="Q269" i="4"/>
  <c r="T269" i="4" s="1"/>
  <c r="L270" i="4"/>
  <c r="O270" i="4" s="1"/>
  <c r="Q270" i="4"/>
  <c r="T270" i="4" s="1"/>
  <c r="L271" i="4"/>
  <c r="O271" i="4" s="1"/>
  <c r="Q271" i="4"/>
  <c r="T271" i="4" s="1"/>
  <c r="L272" i="4"/>
  <c r="O272" i="4" s="1"/>
  <c r="Q272" i="4"/>
  <c r="T272" i="4" s="1"/>
  <c r="L273" i="4"/>
  <c r="O273" i="4" s="1"/>
  <c r="Q273" i="4"/>
  <c r="T273" i="4" s="1"/>
  <c r="L274" i="4"/>
  <c r="O274" i="4" s="1"/>
  <c r="Q274" i="4"/>
  <c r="T274" i="4" s="1"/>
  <c r="L275" i="4"/>
  <c r="O275" i="4" s="1"/>
  <c r="Q275" i="4"/>
  <c r="T275" i="4" s="1"/>
  <c r="L276" i="4"/>
  <c r="O276" i="4" s="1"/>
  <c r="Q276" i="4"/>
  <c r="T276" i="4" s="1"/>
  <c r="L277" i="4"/>
  <c r="O277" i="4" s="1"/>
  <c r="Q277" i="4"/>
  <c r="T277" i="4" s="1"/>
  <c r="Q14" i="4"/>
  <c r="T14" i="4" s="1"/>
  <c r="AB24" i="4"/>
  <c r="L148" i="4"/>
  <c r="O148" i="4" s="1"/>
  <c r="Q148" i="4"/>
  <c r="T148" i="4" s="1"/>
  <c r="L149" i="4"/>
  <c r="O149" i="4" s="1"/>
  <c r="Q149" i="4"/>
  <c r="T149" i="4" s="1"/>
  <c r="L150" i="4"/>
  <c r="O150" i="4" s="1"/>
  <c r="Q150" i="4"/>
  <c r="T150" i="4" s="1"/>
  <c r="L151" i="4"/>
  <c r="O151" i="4" s="1"/>
  <c r="Q151" i="4"/>
  <c r="T151" i="4" s="1"/>
  <c r="L152" i="4"/>
  <c r="O152" i="4" s="1"/>
  <c r="Q152" i="4"/>
  <c r="T152" i="4" s="1"/>
  <c r="L153" i="4"/>
  <c r="O153" i="4" s="1"/>
  <c r="Q153" i="4"/>
  <c r="T153" i="4" s="1"/>
  <c r="L154" i="4"/>
  <c r="O154" i="4" s="1"/>
  <c r="Q154" i="4"/>
  <c r="T154" i="4" s="1"/>
  <c r="L155" i="4"/>
  <c r="O155" i="4" s="1"/>
  <c r="Q155" i="4"/>
  <c r="T155" i="4" s="1"/>
  <c r="L156" i="4"/>
  <c r="O156" i="4" s="1"/>
  <c r="Q156" i="4"/>
  <c r="T156" i="4" s="1"/>
  <c r="L157" i="4"/>
  <c r="O157" i="4" s="1"/>
  <c r="Q157" i="4"/>
  <c r="T157" i="4" s="1"/>
  <c r="L158" i="4"/>
  <c r="O158" i="4" s="1"/>
  <c r="Q158" i="4"/>
  <c r="T158" i="4" s="1"/>
  <c r="L159" i="4"/>
  <c r="O159" i="4" s="1"/>
  <c r="Q159" i="4"/>
  <c r="T159" i="4" s="1"/>
  <c r="L160" i="4"/>
  <c r="O160" i="4" s="1"/>
  <c r="Q160" i="4"/>
  <c r="T160" i="4" s="1"/>
  <c r="L161" i="4"/>
  <c r="O161" i="4" s="1"/>
  <c r="Q161" i="4"/>
  <c r="T161" i="4" s="1"/>
  <c r="L162" i="4"/>
  <c r="O162" i="4" s="1"/>
  <c r="Q162" i="4"/>
  <c r="T162" i="4" s="1"/>
  <c r="L163" i="4"/>
  <c r="O163" i="4" s="1"/>
  <c r="Q163" i="4"/>
  <c r="T163" i="4" s="1"/>
  <c r="L164" i="4"/>
  <c r="O164" i="4" s="1"/>
  <c r="Q164" i="4"/>
  <c r="T164" i="4" s="1"/>
  <c r="L165" i="4"/>
  <c r="O165" i="4" s="1"/>
  <c r="Q165" i="4"/>
  <c r="T165" i="4" s="1"/>
  <c r="L166" i="4"/>
  <c r="O166" i="4" s="1"/>
  <c r="Q166" i="4"/>
  <c r="T166" i="4" s="1"/>
  <c r="L167" i="4"/>
  <c r="O167" i="4" s="1"/>
  <c r="Q167" i="4"/>
  <c r="T167" i="4" s="1"/>
  <c r="L168" i="4"/>
  <c r="O168" i="4" s="1"/>
  <c r="Q168" i="4"/>
  <c r="T168" i="4" s="1"/>
  <c r="L169" i="4"/>
  <c r="O169" i="4" s="1"/>
  <c r="Q169" i="4"/>
  <c r="T169" i="4" s="1"/>
  <c r="L170" i="4"/>
  <c r="O170" i="4" s="1"/>
  <c r="Q170" i="4"/>
  <c r="T170" i="4" s="1"/>
  <c r="L171" i="4"/>
  <c r="O171" i="4" s="1"/>
  <c r="Q171" i="4"/>
  <c r="T171" i="4" s="1"/>
  <c r="L172" i="4"/>
  <c r="O172" i="4" s="1"/>
  <c r="Q172" i="4"/>
  <c r="T172" i="4" s="1"/>
  <c r="L173" i="4"/>
  <c r="O173" i="4" s="1"/>
  <c r="Q173" i="4"/>
  <c r="T173" i="4" s="1"/>
  <c r="L174" i="4"/>
  <c r="O174" i="4" s="1"/>
  <c r="Q174" i="4"/>
  <c r="T174" i="4" s="1"/>
  <c r="L175" i="4"/>
  <c r="O175" i="4" s="1"/>
  <c r="Q175" i="4"/>
  <c r="T175" i="4" s="1"/>
  <c r="L176" i="4"/>
  <c r="O176" i="4" s="1"/>
  <c r="Q176" i="4"/>
  <c r="T176" i="4" s="1"/>
  <c r="L177" i="4"/>
  <c r="O177" i="4" s="1"/>
  <c r="Q177" i="4"/>
  <c r="T177" i="4" s="1"/>
  <c r="L178" i="4"/>
  <c r="O178" i="4" s="1"/>
  <c r="Q178" i="4"/>
  <c r="T178" i="4" s="1"/>
  <c r="L179" i="4"/>
  <c r="O179" i="4" s="1"/>
  <c r="Q179" i="4"/>
  <c r="T179" i="4" s="1"/>
  <c r="L180" i="4"/>
  <c r="O180" i="4" s="1"/>
  <c r="Q180" i="4"/>
  <c r="T180" i="4" s="1"/>
  <c r="L181" i="4"/>
  <c r="O181" i="4" s="1"/>
  <c r="Q181" i="4"/>
  <c r="T181" i="4" s="1"/>
  <c r="L182" i="4"/>
  <c r="O182" i="4" s="1"/>
  <c r="Q182" i="4"/>
  <c r="T182" i="4" s="1"/>
  <c r="L183" i="4"/>
  <c r="O183" i="4" s="1"/>
  <c r="Q183" i="4"/>
  <c r="T183" i="4" s="1"/>
  <c r="L184" i="4"/>
  <c r="O184" i="4" s="1"/>
  <c r="Q184" i="4"/>
  <c r="T184" i="4" s="1"/>
  <c r="L185" i="4"/>
  <c r="O185" i="4" s="1"/>
  <c r="Q185" i="4"/>
  <c r="T185" i="4" s="1"/>
  <c r="L186" i="4"/>
  <c r="O186" i="4" s="1"/>
  <c r="Q186" i="4"/>
  <c r="T186" i="4" s="1"/>
  <c r="L187" i="4"/>
  <c r="O187" i="4" s="1"/>
  <c r="Q187" i="4"/>
  <c r="T187" i="4" s="1"/>
  <c r="L188" i="4"/>
  <c r="O188" i="4" s="1"/>
  <c r="Q188" i="4"/>
  <c r="T188" i="4" s="1"/>
  <c r="L189" i="4"/>
  <c r="O189" i="4" s="1"/>
  <c r="Q189" i="4"/>
  <c r="T189" i="4" s="1"/>
  <c r="L190" i="4"/>
  <c r="O190" i="4" s="1"/>
  <c r="Q190" i="4"/>
  <c r="T190" i="4" s="1"/>
  <c r="L191" i="4"/>
  <c r="O191" i="4" s="1"/>
  <c r="Q191" i="4"/>
  <c r="T191" i="4" s="1"/>
  <c r="L192" i="4"/>
  <c r="O192" i="4" s="1"/>
  <c r="Q192" i="4"/>
  <c r="T192" i="4" s="1"/>
  <c r="L193" i="4"/>
  <c r="O193" i="4" s="1"/>
  <c r="Q193" i="4"/>
  <c r="T193" i="4" s="1"/>
  <c r="L15" i="4"/>
  <c r="O15" i="4" s="1"/>
  <c r="Q15" i="4"/>
  <c r="T15" i="4" s="1"/>
  <c r="L16" i="4"/>
  <c r="O16" i="4" s="1"/>
  <c r="Q16" i="4"/>
  <c r="T16" i="4" s="1"/>
  <c r="L17" i="4"/>
  <c r="O17" i="4" s="1"/>
  <c r="Q17" i="4"/>
  <c r="T17" i="4" s="1"/>
  <c r="L18" i="4"/>
  <c r="O18" i="4" s="1"/>
  <c r="Q18" i="4"/>
  <c r="T18" i="4" s="1"/>
  <c r="L19" i="4"/>
  <c r="O19" i="4" s="1"/>
  <c r="Q19" i="4"/>
  <c r="T19" i="4" s="1"/>
  <c r="L20" i="4"/>
  <c r="O20" i="4" s="1"/>
  <c r="Q20" i="4"/>
  <c r="T20" i="4" s="1"/>
  <c r="L21" i="4"/>
  <c r="O21" i="4" s="1"/>
  <c r="Q21" i="4"/>
  <c r="T21" i="4" s="1"/>
  <c r="L22" i="4"/>
  <c r="O22" i="4" s="1"/>
  <c r="Q22" i="4"/>
  <c r="T22" i="4" s="1"/>
  <c r="L23" i="4"/>
  <c r="O23" i="4" s="1"/>
  <c r="Q23" i="4"/>
  <c r="T23" i="4" s="1"/>
  <c r="L24" i="4"/>
  <c r="O24" i="4" s="1"/>
  <c r="Q24" i="4"/>
  <c r="T24" i="4" s="1"/>
  <c r="L25" i="4"/>
  <c r="O25" i="4" s="1"/>
  <c r="Q25" i="4"/>
  <c r="T25" i="4" s="1"/>
  <c r="L26" i="4"/>
  <c r="O26" i="4" s="1"/>
  <c r="Q26" i="4"/>
  <c r="T26" i="4" s="1"/>
  <c r="L27" i="4"/>
  <c r="O27" i="4" s="1"/>
  <c r="Q27" i="4"/>
  <c r="T27" i="4" s="1"/>
  <c r="L28" i="4"/>
  <c r="O28" i="4" s="1"/>
  <c r="Q28" i="4"/>
  <c r="T28" i="4" s="1"/>
  <c r="L29" i="4"/>
  <c r="O29" i="4" s="1"/>
  <c r="Q29" i="4"/>
  <c r="T29" i="4" s="1"/>
  <c r="L30" i="4"/>
  <c r="O30" i="4" s="1"/>
  <c r="Q30" i="4"/>
  <c r="T30" i="4" s="1"/>
  <c r="L31" i="4"/>
  <c r="O31" i="4" s="1"/>
  <c r="Q31" i="4"/>
  <c r="T31" i="4" s="1"/>
  <c r="L32" i="4"/>
  <c r="O32" i="4" s="1"/>
  <c r="Q32" i="4"/>
  <c r="T32" i="4" s="1"/>
  <c r="L33" i="4"/>
  <c r="O33" i="4" s="1"/>
  <c r="Q33" i="4"/>
  <c r="T33" i="4" s="1"/>
  <c r="L34" i="4"/>
  <c r="O34" i="4" s="1"/>
  <c r="Q34" i="4"/>
  <c r="T34" i="4" s="1"/>
  <c r="L35" i="4"/>
  <c r="O35" i="4" s="1"/>
  <c r="Q35" i="4"/>
  <c r="T35" i="4" s="1"/>
  <c r="L36" i="4"/>
  <c r="O36" i="4" s="1"/>
  <c r="Q36" i="4"/>
  <c r="T36" i="4" s="1"/>
  <c r="L37" i="4"/>
  <c r="O37" i="4" s="1"/>
  <c r="Q37" i="4"/>
  <c r="T37" i="4" s="1"/>
  <c r="L38" i="4"/>
  <c r="O38" i="4" s="1"/>
  <c r="Q38" i="4"/>
  <c r="T38" i="4" s="1"/>
  <c r="L39" i="4"/>
  <c r="O39" i="4" s="1"/>
  <c r="Q39" i="4"/>
  <c r="T39" i="4" s="1"/>
  <c r="L40" i="4"/>
  <c r="O40" i="4" s="1"/>
  <c r="Q40" i="4"/>
  <c r="T40" i="4" s="1"/>
  <c r="L41" i="4"/>
  <c r="O41" i="4" s="1"/>
  <c r="Q41" i="4"/>
  <c r="T41" i="4" s="1"/>
  <c r="L42" i="4"/>
  <c r="O42" i="4" s="1"/>
  <c r="Q42" i="4"/>
  <c r="T42" i="4" s="1"/>
  <c r="L43" i="4"/>
  <c r="O43" i="4" s="1"/>
  <c r="Q43" i="4"/>
  <c r="T43" i="4" s="1"/>
  <c r="L44" i="4"/>
  <c r="O44" i="4" s="1"/>
  <c r="Q44" i="4"/>
  <c r="T44" i="4" s="1"/>
  <c r="L45" i="4"/>
  <c r="O45" i="4" s="1"/>
  <c r="Q45" i="4"/>
  <c r="T45" i="4" s="1"/>
  <c r="L46" i="4"/>
  <c r="O46" i="4" s="1"/>
  <c r="Q46" i="4"/>
  <c r="T46" i="4" s="1"/>
  <c r="L47" i="4"/>
  <c r="O47" i="4" s="1"/>
  <c r="Q47" i="4"/>
  <c r="T47" i="4" s="1"/>
  <c r="L48" i="4"/>
  <c r="O48" i="4" s="1"/>
  <c r="Q48" i="4"/>
  <c r="T48" i="4" s="1"/>
  <c r="L49" i="4"/>
  <c r="O49" i="4" s="1"/>
  <c r="Q49" i="4"/>
  <c r="T49" i="4" s="1"/>
  <c r="L50" i="4"/>
  <c r="O50" i="4" s="1"/>
  <c r="Q50" i="4"/>
  <c r="T50" i="4" s="1"/>
  <c r="L51" i="4"/>
  <c r="O51" i="4" s="1"/>
  <c r="Q51" i="4"/>
  <c r="T51" i="4" s="1"/>
  <c r="L52" i="4"/>
  <c r="O52" i="4" s="1"/>
  <c r="Q52" i="4"/>
  <c r="T52" i="4" s="1"/>
  <c r="L53" i="4"/>
  <c r="O53" i="4" s="1"/>
  <c r="Q53" i="4"/>
  <c r="T53" i="4" s="1"/>
  <c r="L54" i="4"/>
  <c r="O54" i="4" s="1"/>
  <c r="Q54" i="4"/>
  <c r="T54" i="4" s="1"/>
  <c r="L55" i="4"/>
  <c r="O55" i="4" s="1"/>
  <c r="Q55" i="4"/>
  <c r="T55" i="4" s="1"/>
  <c r="L56" i="4"/>
  <c r="O56" i="4" s="1"/>
  <c r="Q56" i="4"/>
  <c r="T56" i="4" s="1"/>
  <c r="L57" i="4"/>
  <c r="O57" i="4" s="1"/>
  <c r="Q57" i="4"/>
  <c r="T57" i="4" s="1"/>
  <c r="L58" i="4"/>
  <c r="O58" i="4" s="1"/>
  <c r="Q58" i="4"/>
  <c r="T58" i="4" s="1"/>
  <c r="L59" i="4"/>
  <c r="O59" i="4" s="1"/>
  <c r="Q59" i="4"/>
  <c r="T59" i="4" s="1"/>
  <c r="L60" i="4"/>
  <c r="O60" i="4" s="1"/>
  <c r="Q60" i="4"/>
  <c r="T60" i="4" s="1"/>
  <c r="L61" i="4"/>
  <c r="O61" i="4" s="1"/>
  <c r="Q61" i="4"/>
  <c r="T61" i="4" s="1"/>
  <c r="L62" i="4"/>
  <c r="O62" i="4" s="1"/>
  <c r="Q62" i="4"/>
  <c r="T62" i="4" s="1"/>
  <c r="L63" i="4"/>
  <c r="O63" i="4" s="1"/>
  <c r="Q63" i="4"/>
  <c r="T63" i="4" s="1"/>
  <c r="L64" i="4"/>
  <c r="O64" i="4" s="1"/>
  <c r="Q64" i="4"/>
  <c r="T64" i="4" s="1"/>
  <c r="L65" i="4"/>
  <c r="O65" i="4" s="1"/>
  <c r="Q65" i="4"/>
  <c r="T65" i="4" s="1"/>
  <c r="L66" i="4"/>
  <c r="O66" i="4" s="1"/>
  <c r="Q66" i="4"/>
  <c r="T66" i="4" s="1"/>
  <c r="L67" i="4"/>
  <c r="O67" i="4" s="1"/>
  <c r="Q67" i="4"/>
  <c r="T67" i="4" s="1"/>
  <c r="L68" i="4"/>
  <c r="O68" i="4" s="1"/>
  <c r="Q68" i="4"/>
  <c r="T68" i="4" s="1"/>
  <c r="L69" i="4"/>
  <c r="O69" i="4" s="1"/>
  <c r="Q69" i="4"/>
  <c r="T69" i="4" s="1"/>
  <c r="L70" i="4"/>
  <c r="O70" i="4" s="1"/>
  <c r="Q70" i="4"/>
  <c r="T70" i="4" s="1"/>
  <c r="L71" i="4"/>
  <c r="O71" i="4" s="1"/>
  <c r="Q71" i="4"/>
  <c r="T71" i="4" s="1"/>
  <c r="L72" i="4"/>
  <c r="O72" i="4" s="1"/>
  <c r="Q72" i="4"/>
  <c r="T72" i="4" s="1"/>
  <c r="L73" i="4"/>
  <c r="O73" i="4" s="1"/>
  <c r="Q73" i="4"/>
  <c r="T73" i="4" s="1"/>
  <c r="L74" i="4"/>
  <c r="O74" i="4" s="1"/>
  <c r="Q74" i="4"/>
  <c r="T74" i="4" s="1"/>
  <c r="L75" i="4"/>
  <c r="O75" i="4" s="1"/>
  <c r="Q75" i="4"/>
  <c r="T75" i="4" s="1"/>
  <c r="L76" i="4"/>
  <c r="O76" i="4" s="1"/>
  <c r="Q76" i="4"/>
  <c r="T76" i="4" s="1"/>
  <c r="L77" i="4"/>
  <c r="O77" i="4" s="1"/>
  <c r="Q77" i="4"/>
  <c r="T77" i="4" s="1"/>
  <c r="L78" i="4"/>
  <c r="O78" i="4" s="1"/>
  <c r="Q78" i="4"/>
  <c r="T78" i="4" s="1"/>
  <c r="L79" i="4"/>
  <c r="O79" i="4" s="1"/>
  <c r="Q79" i="4"/>
  <c r="T79" i="4" s="1"/>
  <c r="L80" i="4"/>
  <c r="O80" i="4" s="1"/>
  <c r="Q80" i="4"/>
  <c r="T80" i="4" s="1"/>
  <c r="L81" i="4"/>
  <c r="O81" i="4" s="1"/>
  <c r="Q81" i="4"/>
  <c r="T81" i="4" s="1"/>
  <c r="L82" i="4"/>
  <c r="O82" i="4" s="1"/>
  <c r="Q82" i="4"/>
  <c r="T82" i="4" s="1"/>
  <c r="L83" i="4"/>
  <c r="O83" i="4" s="1"/>
  <c r="Q83" i="4"/>
  <c r="T83" i="4" s="1"/>
  <c r="L84" i="4"/>
  <c r="O84" i="4" s="1"/>
  <c r="Q84" i="4"/>
  <c r="T84" i="4" s="1"/>
  <c r="L85" i="4"/>
  <c r="O85" i="4" s="1"/>
  <c r="Q85" i="4"/>
  <c r="T85" i="4" s="1"/>
  <c r="L86" i="4"/>
  <c r="O86" i="4" s="1"/>
  <c r="Q86" i="4"/>
  <c r="T86" i="4" s="1"/>
  <c r="L87" i="4"/>
  <c r="O87" i="4" s="1"/>
  <c r="Q87" i="4"/>
  <c r="T87" i="4" s="1"/>
  <c r="L88" i="4"/>
  <c r="O88" i="4" s="1"/>
  <c r="Q88" i="4"/>
  <c r="T88" i="4" s="1"/>
  <c r="L89" i="4"/>
  <c r="O89" i="4" s="1"/>
  <c r="Q89" i="4"/>
  <c r="T89" i="4" s="1"/>
  <c r="L90" i="4"/>
  <c r="O90" i="4" s="1"/>
  <c r="Q90" i="4"/>
  <c r="T90" i="4" s="1"/>
  <c r="L91" i="4"/>
  <c r="O91" i="4" s="1"/>
  <c r="Q91" i="4"/>
  <c r="T91" i="4" s="1"/>
  <c r="L92" i="4"/>
  <c r="O92" i="4" s="1"/>
  <c r="Q92" i="4"/>
  <c r="T92" i="4" s="1"/>
  <c r="L93" i="4"/>
  <c r="O93" i="4" s="1"/>
  <c r="Q93" i="4"/>
  <c r="T93" i="4" s="1"/>
  <c r="L94" i="4"/>
  <c r="O94" i="4" s="1"/>
  <c r="Q94" i="4"/>
  <c r="T94" i="4" s="1"/>
  <c r="L95" i="4"/>
  <c r="O95" i="4" s="1"/>
  <c r="Q95" i="4"/>
  <c r="T95" i="4" s="1"/>
  <c r="L96" i="4"/>
  <c r="O96" i="4" s="1"/>
  <c r="Q96" i="4"/>
  <c r="T96" i="4" s="1"/>
  <c r="L97" i="4"/>
  <c r="O97" i="4" s="1"/>
  <c r="Q97" i="4"/>
  <c r="T97" i="4" s="1"/>
  <c r="L98" i="4"/>
  <c r="O98" i="4" s="1"/>
  <c r="Q98" i="4"/>
  <c r="T98" i="4" s="1"/>
  <c r="L99" i="4"/>
  <c r="O99" i="4" s="1"/>
  <c r="Q99" i="4"/>
  <c r="T99" i="4" s="1"/>
  <c r="L100" i="4"/>
  <c r="O100" i="4" s="1"/>
  <c r="Q100" i="4"/>
  <c r="T100" i="4" s="1"/>
  <c r="L101" i="4"/>
  <c r="O101" i="4" s="1"/>
  <c r="Q101" i="4"/>
  <c r="T101" i="4" s="1"/>
  <c r="L102" i="4"/>
  <c r="O102" i="4" s="1"/>
  <c r="Q102" i="4"/>
  <c r="T102" i="4" s="1"/>
  <c r="L103" i="4"/>
  <c r="O103" i="4" s="1"/>
  <c r="Q103" i="4"/>
  <c r="T103" i="4" s="1"/>
  <c r="L104" i="4"/>
  <c r="O104" i="4" s="1"/>
  <c r="Q104" i="4"/>
  <c r="T104" i="4" s="1"/>
  <c r="L105" i="4"/>
  <c r="O105" i="4" s="1"/>
  <c r="Q105" i="4"/>
  <c r="T105" i="4" s="1"/>
  <c r="L106" i="4"/>
  <c r="O106" i="4" s="1"/>
  <c r="Q106" i="4"/>
  <c r="T106" i="4" s="1"/>
  <c r="L107" i="4"/>
  <c r="O107" i="4" s="1"/>
  <c r="Q107" i="4"/>
  <c r="T107" i="4" s="1"/>
  <c r="L108" i="4"/>
  <c r="O108" i="4" s="1"/>
  <c r="Q108" i="4"/>
  <c r="T108" i="4" s="1"/>
  <c r="L109" i="4"/>
  <c r="O109" i="4" s="1"/>
  <c r="Q109" i="4"/>
  <c r="T109" i="4" s="1"/>
  <c r="L110" i="4"/>
  <c r="O110" i="4" s="1"/>
  <c r="Q110" i="4"/>
  <c r="T110" i="4" s="1"/>
  <c r="L111" i="4"/>
  <c r="O111" i="4" s="1"/>
  <c r="Q111" i="4"/>
  <c r="T111" i="4" s="1"/>
  <c r="L112" i="4"/>
  <c r="O112" i="4" s="1"/>
  <c r="Q112" i="4"/>
  <c r="T112" i="4" s="1"/>
  <c r="L113" i="4"/>
  <c r="O113" i="4" s="1"/>
  <c r="Q113" i="4"/>
  <c r="T113" i="4" s="1"/>
  <c r="L114" i="4"/>
  <c r="O114" i="4" s="1"/>
  <c r="Q114" i="4"/>
  <c r="T114" i="4" s="1"/>
  <c r="L115" i="4"/>
  <c r="O115" i="4" s="1"/>
  <c r="Q115" i="4"/>
  <c r="T115" i="4" s="1"/>
  <c r="L116" i="4"/>
  <c r="O116" i="4" s="1"/>
  <c r="Q116" i="4"/>
  <c r="T116" i="4" s="1"/>
  <c r="L117" i="4"/>
  <c r="O117" i="4" s="1"/>
  <c r="Q117" i="4"/>
  <c r="T117" i="4" s="1"/>
  <c r="L118" i="4"/>
  <c r="O118" i="4" s="1"/>
  <c r="Q118" i="4"/>
  <c r="T118" i="4" s="1"/>
  <c r="L119" i="4"/>
  <c r="O119" i="4" s="1"/>
  <c r="Q119" i="4"/>
  <c r="T119" i="4" s="1"/>
  <c r="L120" i="4"/>
  <c r="O120" i="4" s="1"/>
  <c r="Q120" i="4"/>
  <c r="T120" i="4" s="1"/>
  <c r="L121" i="4"/>
  <c r="O121" i="4" s="1"/>
  <c r="Q121" i="4"/>
  <c r="T121" i="4" s="1"/>
  <c r="L122" i="4"/>
  <c r="O122" i="4" s="1"/>
  <c r="Q122" i="4"/>
  <c r="T122" i="4" s="1"/>
  <c r="L123" i="4"/>
  <c r="O123" i="4" s="1"/>
  <c r="Q123" i="4"/>
  <c r="T123" i="4" s="1"/>
  <c r="L124" i="4"/>
  <c r="O124" i="4" s="1"/>
  <c r="Q124" i="4"/>
  <c r="T124" i="4" s="1"/>
  <c r="L125" i="4"/>
  <c r="O125" i="4" s="1"/>
  <c r="Q125" i="4"/>
  <c r="T125" i="4" s="1"/>
  <c r="L126" i="4"/>
  <c r="O126" i="4" s="1"/>
  <c r="Q126" i="4"/>
  <c r="T126" i="4" s="1"/>
  <c r="L127" i="4"/>
  <c r="O127" i="4" s="1"/>
  <c r="Q127" i="4"/>
  <c r="T127" i="4" s="1"/>
  <c r="L128" i="4"/>
  <c r="O128" i="4" s="1"/>
  <c r="Q128" i="4"/>
  <c r="T128" i="4" s="1"/>
  <c r="L129" i="4"/>
  <c r="O129" i="4" s="1"/>
  <c r="Q129" i="4"/>
  <c r="T129" i="4" s="1"/>
  <c r="L130" i="4"/>
  <c r="O130" i="4" s="1"/>
  <c r="Q130" i="4"/>
  <c r="T130" i="4" s="1"/>
  <c r="L131" i="4"/>
  <c r="O131" i="4" s="1"/>
  <c r="Q131" i="4"/>
  <c r="T131" i="4" s="1"/>
  <c r="L132" i="4"/>
  <c r="O132" i="4" s="1"/>
  <c r="Q132" i="4"/>
  <c r="T132" i="4" s="1"/>
  <c r="L133" i="4"/>
  <c r="O133" i="4" s="1"/>
  <c r="Q133" i="4"/>
  <c r="T133" i="4" s="1"/>
  <c r="L134" i="4"/>
  <c r="O134" i="4" s="1"/>
  <c r="Q134" i="4"/>
  <c r="T134" i="4" s="1"/>
  <c r="L135" i="4"/>
  <c r="O135" i="4" s="1"/>
  <c r="Q135" i="4"/>
  <c r="T135" i="4" s="1"/>
  <c r="L136" i="4"/>
  <c r="O136" i="4" s="1"/>
  <c r="Q136" i="4"/>
  <c r="T136" i="4" s="1"/>
  <c r="L137" i="4"/>
  <c r="O137" i="4" s="1"/>
  <c r="Q137" i="4"/>
  <c r="T137" i="4" s="1"/>
  <c r="L138" i="4"/>
  <c r="O138" i="4" s="1"/>
  <c r="Q138" i="4"/>
  <c r="T138" i="4" s="1"/>
  <c r="L139" i="4"/>
  <c r="O139" i="4" s="1"/>
  <c r="Q139" i="4"/>
  <c r="T139" i="4" s="1"/>
  <c r="L140" i="4"/>
  <c r="O140" i="4" s="1"/>
  <c r="Q140" i="4"/>
  <c r="T140" i="4" s="1"/>
  <c r="L141" i="4"/>
  <c r="O141" i="4" s="1"/>
  <c r="Q141" i="4"/>
  <c r="T141" i="4" s="1"/>
  <c r="L142" i="4"/>
  <c r="O142" i="4" s="1"/>
  <c r="Q142" i="4"/>
  <c r="T142" i="4" s="1"/>
  <c r="L143" i="4"/>
  <c r="O143" i="4" s="1"/>
  <c r="Q143" i="4"/>
  <c r="T143" i="4" s="1"/>
  <c r="L144" i="4"/>
  <c r="O144" i="4" s="1"/>
  <c r="Q144" i="4"/>
  <c r="T144" i="4" s="1"/>
  <c r="L145" i="4"/>
  <c r="O145" i="4" s="1"/>
  <c r="Q145" i="4"/>
  <c r="T145" i="4" s="1"/>
  <c r="L146" i="4"/>
  <c r="O146" i="4" s="1"/>
  <c r="Q146" i="4"/>
  <c r="T146" i="4" s="1"/>
  <c r="L147" i="4"/>
  <c r="O147" i="4" s="1"/>
  <c r="Q147" i="4"/>
  <c r="T147" i="4" s="1"/>
  <c r="L278" i="4"/>
  <c r="O278" i="4" s="1"/>
  <c r="Q278" i="4"/>
  <c r="T278" i="4" s="1"/>
  <c r="L279" i="4"/>
  <c r="O279" i="4" s="1"/>
  <c r="Q279" i="4"/>
  <c r="T279" i="4" s="1"/>
  <c r="L280" i="4"/>
  <c r="O280" i="4" s="1"/>
  <c r="Q280" i="4"/>
  <c r="T280" i="4" s="1"/>
  <c r="L281" i="4"/>
  <c r="O281" i="4" s="1"/>
  <c r="Q281" i="4"/>
  <c r="T281" i="4" s="1"/>
  <c r="L282" i="4"/>
  <c r="O282" i="4" s="1"/>
  <c r="Q282" i="4"/>
  <c r="T282" i="4" s="1"/>
  <c r="L283" i="4"/>
  <c r="O283" i="4" s="1"/>
  <c r="Q283" i="4"/>
  <c r="T283" i="4" s="1"/>
  <c r="L284" i="4"/>
  <c r="O284" i="4" s="1"/>
  <c r="Q284" i="4"/>
  <c r="T284" i="4" s="1"/>
  <c r="L285" i="4"/>
  <c r="O285" i="4" s="1"/>
  <c r="Q285" i="4"/>
  <c r="T285" i="4" s="1"/>
  <c r="L286" i="4"/>
  <c r="O286" i="4" s="1"/>
  <c r="Q286" i="4"/>
  <c r="T286" i="4" s="1"/>
  <c r="L287" i="4"/>
  <c r="O287" i="4" s="1"/>
  <c r="Q287" i="4"/>
  <c r="T287" i="4" s="1"/>
  <c r="L288" i="4"/>
  <c r="O288" i="4" s="1"/>
  <c r="Q288" i="4"/>
  <c r="T288" i="4" s="1"/>
  <c r="L289" i="4"/>
  <c r="O289" i="4" s="1"/>
  <c r="Q289" i="4"/>
  <c r="T289" i="4" s="1"/>
  <c r="L290" i="4"/>
  <c r="O290" i="4" s="1"/>
  <c r="Q290" i="4"/>
  <c r="T290" i="4" s="1"/>
  <c r="L291" i="4"/>
  <c r="O291" i="4" s="1"/>
  <c r="Q291" i="4"/>
  <c r="T291" i="4" s="1"/>
  <c r="L292" i="4"/>
  <c r="O292" i="4" s="1"/>
  <c r="Q292" i="4"/>
  <c r="T292" i="4" s="1"/>
  <c r="L293" i="4"/>
  <c r="O293" i="4" s="1"/>
  <c r="Q293" i="4"/>
  <c r="T293" i="4" s="1"/>
  <c r="L294" i="4"/>
  <c r="O294" i="4" s="1"/>
  <c r="Q294" i="4"/>
  <c r="T294" i="4" s="1"/>
  <c r="L295" i="4"/>
  <c r="O295" i="4" s="1"/>
  <c r="Q295" i="4"/>
  <c r="T295" i="4" s="1"/>
  <c r="L296" i="4"/>
  <c r="O296" i="4" s="1"/>
  <c r="Q296" i="4"/>
  <c r="T296" i="4" s="1"/>
  <c r="L297" i="4"/>
  <c r="O297" i="4" s="1"/>
  <c r="Q297" i="4"/>
  <c r="T297" i="4" s="1"/>
  <c r="L298" i="4"/>
  <c r="O298" i="4" s="1"/>
  <c r="Q298" i="4"/>
  <c r="T298" i="4" s="1"/>
  <c r="L299" i="4"/>
  <c r="O299" i="4" s="1"/>
  <c r="Q299" i="4"/>
  <c r="T299" i="4" s="1"/>
  <c r="L300" i="4"/>
  <c r="O300" i="4" s="1"/>
  <c r="Q300" i="4"/>
  <c r="T300" i="4" s="1"/>
  <c r="L301" i="4"/>
  <c r="O301" i="4" s="1"/>
  <c r="Q301" i="4"/>
  <c r="T301" i="4" s="1"/>
  <c r="L302" i="4"/>
  <c r="O302" i="4" s="1"/>
  <c r="Q302" i="4"/>
  <c r="T302" i="4" s="1"/>
  <c r="L303" i="4"/>
  <c r="O303" i="4" s="1"/>
  <c r="Q303" i="4"/>
  <c r="T303" i="4" s="1"/>
  <c r="L304" i="4"/>
  <c r="O304" i="4" s="1"/>
  <c r="Q304" i="4"/>
  <c r="T304" i="4" s="1"/>
  <c r="L305" i="4"/>
  <c r="O305" i="4" s="1"/>
  <c r="Q305" i="4"/>
  <c r="T305" i="4" s="1"/>
  <c r="L306" i="4"/>
  <c r="O306" i="4" s="1"/>
  <c r="Q306" i="4"/>
  <c r="T306" i="4" s="1"/>
  <c r="L307" i="4"/>
  <c r="O307" i="4" s="1"/>
  <c r="Q307" i="4"/>
  <c r="T307" i="4" s="1"/>
  <c r="L308" i="4"/>
  <c r="O308" i="4" s="1"/>
  <c r="Q308" i="4"/>
  <c r="T308" i="4" s="1"/>
  <c r="L309" i="4"/>
  <c r="O309" i="4" s="1"/>
  <c r="Q309" i="4"/>
  <c r="T309" i="4" s="1"/>
  <c r="L310" i="4"/>
  <c r="O310" i="4" s="1"/>
  <c r="Q310" i="4"/>
  <c r="T310" i="4" s="1"/>
  <c r="L311" i="4"/>
  <c r="O311" i="4" s="1"/>
  <c r="Q311" i="4"/>
  <c r="T311" i="4" s="1"/>
  <c r="L312" i="4"/>
  <c r="O312" i="4" s="1"/>
  <c r="Q312" i="4"/>
  <c r="T312" i="4" s="1"/>
  <c r="L313" i="4"/>
  <c r="O313" i="4" s="1"/>
  <c r="Q313" i="4"/>
  <c r="T313" i="4" s="1"/>
  <c r="L314" i="4"/>
  <c r="O314" i="4" s="1"/>
  <c r="Q314" i="4"/>
  <c r="T314" i="4" s="1"/>
  <c r="L315" i="4"/>
  <c r="O315" i="4" s="1"/>
  <c r="Q315" i="4"/>
  <c r="T315" i="4" s="1"/>
  <c r="L316" i="4"/>
  <c r="O316" i="4" s="1"/>
  <c r="Q316" i="4"/>
  <c r="T316" i="4" s="1"/>
  <c r="L317" i="4"/>
  <c r="O317" i="4" s="1"/>
  <c r="Q317" i="4"/>
  <c r="T317" i="4" s="1"/>
  <c r="L318" i="4"/>
  <c r="O318" i="4" s="1"/>
  <c r="Q318" i="4"/>
  <c r="T318" i="4" s="1"/>
  <c r="L319" i="4"/>
  <c r="O319" i="4" s="1"/>
  <c r="Q319" i="4"/>
  <c r="T319" i="4" s="1"/>
  <c r="L320" i="4"/>
  <c r="O320" i="4" s="1"/>
  <c r="Q320" i="4"/>
  <c r="T320" i="4" s="1"/>
  <c r="L321" i="4"/>
  <c r="O321" i="4" s="1"/>
  <c r="Q321" i="4"/>
  <c r="T321" i="4" s="1"/>
  <c r="L322" i="4"/>
  <c r="O322" i="4" s="1"/>
  <c r="Q322" i="4"/>
  <c r="T322" i="4" s="1"/>
  <c r="L323" i="4"/>
  <c r="O323" i="4" s="1"/>
  <c r="Q323" i="4"/>
  <c r="T323" i="4" s="1"/>
  <c r="L324" i="4"/>
  <c r="O324" i="4" s="1"/>
  <c r="Q324" i="4"/>
  <c r="T324" i="4" s="1"/>
  <c r="L325" i="4"/>
  <c r="O325" i="4" s="1"/>
  <c r="Q325" i="4"/>
  <c r="T325" i="4" s="1"/>
  <c r="L326" i="4"/>
  <c r="O326" i="4" s="1"/>
  <c r="Q326" i="4"/>
  <c r="T326" i="4" s="1"/>
  <c r="L327" i="4"/>
  <c r="O327" i="4" s="1"/>
  <c r="Q327" i="4"/>
  <c r="T327" i="4" s="1"/>
  <c r="L328" i="4"/>
  <c r="O328" i="4" s="1"/>
  <c r="Q328" i="4"/>
  <c r="T328" i="4" s="1"/>
  <c r="L329" i="4"/>
  <c r="O329" i="4" s="1"/>
  <c r="Q329" i="4"/>
  <c r="T329" i="4" s="1"/>
  <c r="L330" i="4"/>
  <c r="O330" i="4" s="1"/>
  <c r="Q330" i="4"/>
  <c r="T330" i="4" s="1"/>
  <c r="L331" i="4"/>
  <c r="O331" i="4" s="1"/>
  <c r="Q331" i="4"/>
  <c r="T331" i="4" s="1"/>
  <c r="L332" i="4"/>
  <c r="O332" i="4" s="1"/>
  <c r="Q332" i="4"/>
  <c r="T332" i="4" s="1"/>
  <c r="L333" i="4"/>
  <c r="O333" i="4" s="1"/>
  <c r="Q333" i="4"/>
  <c r="T333" i="4" s="1"/>
  <c r="L334" i="4"/>
  <c r="O334" i="4" s="1"/>
  <c r="Q334" i="4"/>
  <c r="T334" i="4" s="1"/>
  <c r="L335" i="4"/>
  <c r="O335" i="4" s="1"/>
  <c r="Q335" i="4"/>
  <c r="T335" i="4" s="1"/>
  <c r="L336" i="4"/>
  <c r="O336" i="4" s="1"/>
  <c r="Q336" i="4"/>
  <c r="T336" i="4" s="1"/>
  <c r="L337" i="4"/>
  <c r="O337" i="4" s="1"/>
  <c r="Q337" i="4"/>
  <c r="T337" i="4" s="1"/>
  <c r="L338" i="4"/>
  <c r="O338" i="4" s="1"/>
  <c r="Q338" i="4"/>
  <c r="T338" i="4" s="1"/>
  <c r="L339" i="4"/>
  <c r="O339" i="4" s="1"/>
  <c r="Q339" i="4"/>
  <c r="T339" i="4" s="1"/>
  <c r="L340" i="4"/>
  <c r="O340" i="4" s="1"/>
  <c r="Q340" i="4"/>
  <c r="T340" i="4" s="1"/>
  <c r="L341" i="4"/>
  <c r="O341" i="4" s="1"/>
  <c r="Q341" i="4"/>
  <c r="T341" i="4" s="1"/>
  <c r="L342" i="4"/>
  <c r="O342" i="4" s="1"/>
  <c r="Q342" i="4"/>
  <c r="T342" i="4" s="1"/>
  <c r="L343" i="4"/>
  <c r="O343" i="4" s="1"/>
  <c r="Q343" i="4"/>
  <c r="T343" i="4" s="1"/>
  <c r="L344" i="4"/>
  <c r="O344" i="4" s="1"/>
  <c r="Q344" i="4"/>
  <c r="T344" i="4" s="1"/>
  <c r="L345" i="4"/>
  <c r="O345" i="4" s="1"/>
  <c r="Q345" i="4"/>
  <c r="T345" i="4" s="1"/>
  <c r="L346" i="4"/>
  <c r="O346" i="4" s="1"/>
  <c r="Q346" i="4"/>
  <c r="T346" i="4" s="1"/>
  <c r="L347" i="4"/>
  <c r="O347" i="4" s="1"/>
  <c r="Q347" i="4"/>
  <c r="T347" i="4" s="1"/>
  <c r="L348" i="4"/>
  <c r="O348" i="4" s="1"/>
  <c r="Q348" i="4"/>
  <c r="T348" i="4" s="1"/>
  <c r="L349" i="4"/>
  <c r="O349" i="4" s="1"/>
  <c r="Q349" i="4"/>
  <c r="T349" i="4" s="1"/>
  <c r="L350" i="4"/>
  <c r="O350" i="4" s="1"/>
  <c r="Q350" i="4"/>
  <c r="T350" i="4" s="1"/>
  <c r="L351" i="4"/>
  <c r="O351" i="4" s="1"/>
  <c r="Q351" i="4"/>
  <c r="T351" i="4" s="1"/>
  <c r="L352" i="4"/>
  <c r="O352" i="4" s="1"/>
  <c r="Q352" i="4"/>
  <c r="T352" i="4" s="1"/>
  <c r="L353" i="4"/>
  <c r="O353" i="4" s="1"/>
  <c r="Q353" i="4"/>
  <c r="T353" i="4" s="1"/>
  <c r="L354" i="4"/>
  <c r="O354" i="4" s="1"/>
  <c r="Q354" i="4"/>
  <c r="T354" i="4" s="1"/>
  <c r="L355" i="4"/>
  <c r="O355" i="4" s="1"/>
  <c r="Q355" i="4"/>
  <c r="T355" i="4" s="1"/>
  <c r="L356" i="4"/>
  <c r="O356" i="4" s="1"/>
  <c r="Q356" i="4"/>
  <c r="T356" i="4" s="1"/>
  <c r="L357" i="4"/>
  <c r="O357" i="4" s="1"/>
  <c r="Q357" i="4"/>
  <c r="T357" i="4" s="1"/>
  <c r="L358" i="4"/>
  <c r="O358" i="4" s="1"/>
  <c r="Q358" i="4"/>
  <c r="T358" i="4" s="1"/>
  <c r="L359" i="4"/>
  <c r="O359" i="4" s="1"/>
  <c r="Q359" i="4"/>
  <c r="T359" i="4" s="1"/>
  <c r="L360" i="4"/>
  <c r="O360" i="4" s="1"/>
  <c r="Q360" i="4"/>
  <c r="T360" i="4" s="1"/>
  <c r="L361" i="4"/>
  <c r="O361" i="4" s="1"/>
  <c r="Q361" i="4"/>
  <c r="T361" i="4" s="1"/>
  <c r="L362" i="4"/>
  <c r="O362" i="4" s="1"/>
  <c r="Q362" i="4"/>
  <c r="T362" i="4" s="1"/>
  <c r="L363" i="4"/>
  <c r="O363" i="4" s="1"/>
  <c r="Q363" i="4"/>
  <c r="T363" i="4" s="1"/>
  <c r="L364" i="4"/>
  <c r="O364" i="4" s="1"/>
  <c r="Q364" i="4"/>
  <c r="T364" i="4" s="1"/>
  <c r="L365" i="4"/>
  <c r="O365" i="4" s="1"/>
  <c r="Q365" i="4"/>
  <c r="T365" i="4" s="1"/>
  <c r="L366" i="4"/>
  <c r="O366" i="4" s="1"/>
  <c r="Q366" i="4"/>
  <c r="T366" i="4" s="1"/>
  <c r="L367" i="4"/>
  <c r="O367" i="4" s="1"/>
  <c r="Q367" i="4"/>
  <c r="T367" i="4" s="1"/>
  <c r="L368" i="4"/>
  <c r="O368" i="4" s="1"/>
  <c r="Q368" i="4"/>
  <c r="T368" i="4" s="1"/>
  <c r="L369" i="4"/>
  <c r="O369" i="4" s="1"/>
  <c r="Q369" i="4"/>
  <c r="T369" i="4" s="1"/>
  <c r="L370" i="4"/>
  <c r="O370" i="4" s="1"/>
  <c r="Q370" i="4"/>
  <c r="T370" i="4" s="1"/>
  <c r="L371" i="4"/>
  <c r="O371" i="4" s="1"/>
  <c r="Q371" i="4"/>
  <c r="T371" i="4" s="1"/>
  <c r="L372" i="4"/>
  <c r="O372" i="4" s="1"/>
  <c r="Q372" i="4"/>
  <c r="T372" i="4" s="1"/>
  <c r="L373" i="4"/>
  <c r="O373" i="4" s="1"/>
  <c r="Q373" i="4"/>
  <c r="T373" i="4" s="1"/>
  <c r="L374" i="4"/>
  <c r="O374" i="4" s="1"/>
  <c r="Q374" i="4"/>
  <c r="T374" i="4" s="1"/>
  <c r="L375" i="4"/>
  <c r="O375" i="4" s="1"/>
  <c r="Q375" i="4"/>
  <c r="T375" i="4" s="1"/>
  <c r="L376" i="4"/>
  <c r="O376" i="4" s="1"/>
  <c r="Q376" i="4"/>
  <c r="T376" i="4" s="1"/>
  <c r="L377" i="4"/>
  <c r="O377" i="4" s="1"/>
  <c r="Q377" i="4"/>
  <c r="T377" i="4" s="1"/>
  <c r="L378" i="4"/>
  <c r="O378" i="4" s="1"/>
  <c r="Q378" i="4"/>
  <c r="T378" i="4" s="1"/>
  <c r="L379" i="4"/>
  <c r="O379" i="4" s="1"/>
  <c r="Q379" i="4"/>
  <c r="T379" i="4" s="1"/>
  <c r="L380" i="4"/>
  <c r="O380" i="4" s="1"/>
  <c r="Q380" i="4"/>
  <c r="T380" i="4" s="1"/>
  <c r="L381" i="4"/>
  <c r="O381" i="4" s="1"/>
  <c r="Q381" i="4"/>
  <c r="T381" i="4" s="1"/>
  <c r="L382" i="4"/>
  <c r="O382" i="4" s="1"/>
  <c r="Q382" i="4"/>
  <c r="T382" i="4" s="1"/>
  <c r="L383" i="4"/>
  <c r="O383" i="4" s="1"/>
  <c r="Q383" i="4"/>
  <c r="T383" i="4" s="1"/>
  <c r="L384" i="4"/>
  <c r="O384" i="4" s="1"/>
  <c r="Q384" i="4"/>
  <c r="T384" i="4" s="1"/>
  <c r="L385" i="4"/>
  <c r="O385" i="4" s="1"/>
  <c r="Q385" i="4"/>
  <c r="T385" i="4" s="1"/>
  <c r="L386" i="4"/>
  <c r="O386" i="4" s="1"/>
  <c r="Q386" i="4"/>
  <c r="T386" i="4" s="1"/>
  <c r="L387" i="4"/>
  <c r="O387" i="4" s="1"/>
  <c r="Q387" i="4"/>
  <c r="T387" i="4" s="1"/>
  <c r="L388" i="4"/>
  <c r="O388" i="4" s="1"/>
  <c r="Q388" i="4"/>
  <c r="T388" i="4" s="1"/>
  <c r="L389" i="4"/>
  <c r="O389" i="4" s="1"/>
  <c r="Q389" i="4"/>
  <c r="T389" i="4" s="1"/>
  <c r="L390" i="4"/>
  <c r="O390" i="4" s="1"/>
  <c r="Q390" i="4"/>
  <c r="T390" i="4" s="1"/>
  <c r="L391" i="4"/>
  <c r="O391" i="4" s="1"/>
  <c r="Q391" i="4"/>
  <c r="T391" i="4" s="1"/>
  <c r="L392" i="4"/>
  <c r="O392" i="4" s="1"/>
  <c r="Q392" i="4"/>
  <c r="T392" i="4" s="1"/>
  <c r="L393" i="4"/>
  <c r="O393" i="4" s="1"/>
  <c r="Q393" i="4"/>
  <c r="T393" i="4" s="1"/>
  <c r="L394" i="4"/>
  <c r="O394" i="4" s="1"/>
  <c r="Q394" i="4"/>
  <c r="T394" i="4" s="1"/>
  <c r="L395" i="4"/>
  <c r="O395" i="4" s="1"/>
  <c r="Q395" i="4"/>
  <c r="T395" i="4" s="1"/>
  <c r="L396" i="4"/>
  <c r="O396" i="4" s="1"/>
  <c r="Q396" i="4"/>
  <c r="T396" i="4" s="1"/>
  <c r="L397" i="4"/>
  <c r="O397" i="4" s="1"/>
  <c r="Q397" i="4"/>
  <c r="T397" i="4" s="1"/>
  <c r="L398" i="4"/>
  <c r="O398" i="4" s="1"/>
  <c r="Q398" i="4"/>
  <c r="T398" i="4" s="1"/>
  <c r="L399" i="4"/>
  <c r="O399" i="4" s="1"/>
  <c r="Q399" i="4"/>
  <c r="T399" i="4" s="1"/>
  <c r="L400" i="4"/>
  <c r="O400" i="4" s="1"/>
  <c r="Q400" i="4"/>
  <c r="T400" i="4" s="1"/>
  <c r="L401" i="4"/>
  <c r="O401" i="4" s="1"/>
  <c r="Q401" i="4"/>
  <c r="T401" i="4" s="1"/>
  <c r="L402" i="4"/>
  <c r="O402" i="4" s="1"/>
  <c r="Q402" i="4"/>
  <c r="T402" i="4" s="1"/>
  <c r="L403" i="4"/>
  <c r="O403" i="4" s="1"/>
  <c r="Q403" i="4"/>
  <c r="T403" i="4" s="1"/>
  <c r="L404" i="4"/>
  <c r="O404" i="4" s="1"/>
  <c r="Q404" i="4"/>
  <c r="T404" i="4" s="1"/>
  <c r="L405" i="4"/>
  <c r="O405" i="4" s="1"/>
  <c r="Q405" i="4"/>
  <c r="T405" i="4" s="1"/>
  <c r="L406" i="4"/>
  <c r="O406" i="4" s="1"/>
  <c r="Q406" i="4"/>
  <c r="T406" i="4" s="1"/>
  <c r="L407" i="4"/>
  <c r="O407" i="4" s="1"/>
  <c r="Q407" i="4"/>
  <c r="T407" i="4" s="1"/>
  <c r="L408" i="4"/>
  <c r="O408" i="4" s="1"/>
  <c r="Q408" i="4"/>
  <c r="T408" i="4" s="1"/>
  <c r="L409" i="4"/>
  <c r="O409" i="4" s="1"/>
  <c r="Q409" i="4"/>
  <c r="T409" i="4" s="1"/>
  <c r="L410" i="4"/>
  <c r="O410" i="4" s="1"/>
  <c r="Q410" i="4"/>
  <c r="T410" i="4" s="1"/>
  <c r="L411" i="4"/>
  <c r="O411" i="4" s="1"/>
  <c r="Q411" i="4"/>
  <c r="T411" i="4" s="1"/>
  <c r="L412" i="4"/>
  <c r="O412" i="4" s="1"/>
  <c r="Q412" i="4"/>
  <c r="T412" i="4" s="1"/>
  <c r="L413" i="4"/>
  <c r="O413" i="4" s="1"/>
  <c r="Q413" i="4"/>
  <c r="T413" i="4" s="1"/>
  <c r="L414" i="4"/>
  <c r="O414" i="4" s="1"/>
  <c r="Q414" i="4"/>
  <c r="T414" i="4" s="1"/>
  <c r="L415" i="4"/>
  <c r="O415" i="4" s="1"/>
  <c r="Q415" i="4"/>
  <c r="T415" i="4" s="1"/>
  <c r="L416" i="4"/>
  <c r="O416" i="4" s="1"/>
  <c r="Q416" i="4"/>
  <c r="T416" i="4" s="1"/>
  <c r="L417" i="4"/>
  <c r="O417" i="4" s="1"/>
  <c r="Q417" i="4"/>
  <c r="T417" i="4" s="1"/>
  <c r="L418" i="4"/>
  <c r="O418" i="4" s="1"/>
  <c r="Q418" i="4"/>
  <c r="T418" i="4" s="1"/>
  <c r="L419" i="4"/>
  <c r="O419" i="4" s="1"/>
  <c r="Q419" i="4"/>
  <c r="T419" i="4" s="1"/>
  <c r="L420" i="4"/>
  <c r="O420" i="4" s="1"/>
  <c r="Q420" i="4"/>
  <c r="T420" i="4" s="1"/>
  <c r="L421" i="4"/>
  <c r="O421" i="4" s="1"/>
  <c r="Q421" i="4"/>
  <c r="T421" i="4" s="1"/>
  <c r="L422" i="4"/>
  <c r="O422" i="4" s="1"/>
  <c r="Q422" i="4"/>
  <c r="T422" i="4" s="1"/>
  <c r="L423" i="4"/>
  <c r="O423" i="4" s="1"/>
  <c r="Q423" i="4"/>
  <c r="T423" i="4" s="1"/>
  <c r="L424" i="4"/>
  <c r="O424" i="4" s="1"/>
  <c r="Q424" i="4"/>
  <c r="T424" i="4" s="1"/>
  <c r="L425" i="4"/>
  <c r="O425" i="4" s="1"/>
  <c r="Q425" i="4"/>
  <c r="T425" i="4" s="1"/>
  <c r="L426" i="4"/>
  <c r="O426" i="4" s="1"/>
  <c r="Q426" i="4"/>
  <c r="T426" i="4" s="1"/>
  <c r="L427" i="4"/>
  <c r="O427" i="4" s="1"/>
  <c r="Q427" i="4"/>
  <c r="T427" i="4" s="1"/>
  <c r="L428" i="4"/>
  <c r="O428" i="4" s="1"/>
  <c r="Q428" i="4"/>
  <c r="T428" i="4" s="1"/>
  <c r="L429" i="4"/>
  <c r="O429" i="4" s="1"/>
  <c r="Q429" i="4"/>
  <c r="T429" i="4" s="1"/>
  <c r="L430" i="4"/>
  <c r="O430" i="4" s="1"/>
  <c r="Q430" i="4"/>
  <c r="T430" i="4" s="1"/>
  <c r="L431" i="4"/>
  <c r="O431" i="4" s="1"/>
  <c r="Q431" i="4"/>
  <c r="T431" i="4" s="1"/>
  <c r="L432" i="4"/>
  <c r="O432" i="4" s="1"/>
  <c r="Q432" i="4"/>
  <c r="T432" i="4" s="1"/>
  <c r="L433" i="4"/>
  <c r="O433" i="4" s="1"/>
  <c r="Q433" i="4"/>
  <c r="T433" i="4" s="1"/>
  <c r="L434" i="4"/>
  <c r="O434" i="4" s="1"/>
  <c r="Q434" i="4"/>
  <c r="T434" i="4" s="1"/>
  <c r="L435" i="4"/>
  <c r="O435" i="4" s="1"/>
  <c r="Q435" i="4"/>
  <c r="T435" i="4" s="1"/>
  <c r="L436" i="4"/>
  <c r="O436" i="4" s="1"/>
  <c r="Q436" i="4"/>
  <c r="T436" i="4" s="1"/>
  <c r="L437" i="4"/>
  <c r="O437" i="4" s="1"/>
  <c r="Q437" i="4"/>
  <c r="T437" i="4" s="1"/>
  <c r="L438" i="4"/>
  <c r="O438" i="4" s="1"/>
  <c r="Q438" i="4"/>
  <c r="T438" i="4" s="1"/>
  <c r="L439" i="4"/>
  <c r="O439" i="4" s="1"/>
  <c r="Q439" i="4"/>
  <c r="T439" i="4" s="1"/>
  <c r="L440" i="4"/>
  <c r="O440" i="4" s="1"/>
  <c r="Q440" i="4"/>
  <c r="T440" i="4" s="1"/>
  <c r="L441" i="4"/>
  <c r="O441" i="4" s="1"/>
  <c r="Q441" i="4"/>
  <c r="T441" i="4" s="1"/>
  <c r="L442" i="4"/>
  <c r="O442" i="4" s="1"/>
  <c r="Q442" i="4"/>
  <c r="T442" i="4" s="1"/>
  <c r="L443" i="4"/>
  <c r="O443" i="4" s="1"/>
  <c r="Q443" i="4"/>
  <c r="T443" i="4" s="1"/>
  <c r="L444" i="4"/>
  <c r="O444" i="4" s="1"/>
  <c r="Q444" i="4"/>
  <c r="T444" i="4" s="1"/>
  <c r="L445" i="4"/>
  <c r="O445" i="4" s="1"/>
  <c r="Q445" i="4"/>
  <c r="T445" i="4" s="1"/>
  <c r="L446" i="4"/>
  <c r="O446" i="4" s="1"/>
  <c r="Q446" i="4"/>
  <c r="T446" i="4" s="1"/>
  <c r="L447" i="4"/>
  <c r="O447" i="4" s="1"/>
  <c r="Q447" i="4"/>
  <c r="T447" i="4" s="1"/>
  <c r="L448" i="4"/>
  <c r="O448" i="4" s="1"/>
  <c r="Q448" i="4"/>
  <c r="T448" i="4" s="1"/>
  <c r="L449" i="4"/>
  <c r="O449" i="4" s="1"/>
  <c r="Q449" i="4"/>
  <c r="T449" i="4" s="1"/>
  <c r="L450" i="4"/>
  <c r="O450" i="4" s="1"/>
  <c r="Q450" i="4"/>
  <c r="T450" i="4" s="1"/>
  <c r="L451" i="4"/>
  <c r="O451" i="4" s="1"/>
  <c r="Q451" i="4"/>
  <c r="T451" i="4" s="1"/>
  <c r="L452" i="4"/>
  <c r="O452" i="4" s="1"/>
  <c r="Q452" i="4"/>
  <c r="T452" i="4" s="1"/>
  <c r="L453" i="4"/>
  <c r="O453" i="4" s="1"/>
  <c r="Q453" i="4"/>
  <c r="T453" i="4" s="1"/>
  <c r="L454" i="4"/>
  <c r="O454" i="4" s="1"/>
  <c r="Q454" i="4"/>
  <c r="T454" i="4" s="1"/>
  <c r="L455" i="4"/>
  <c r="O455" i="4" s="1"/>
  <c r="Q455" i="4"/>
  <c r="T455" i="4" s="1"/>
  <c r="L456" i="4"/>
  <c r="O456" i="4" s="1"/>
  <c r="Q456" i="4"/>
  <c r="T456" i="4" s="1"/>
  <c r="L457" i="4"/>
  <c r="O457" i="4" s="1"/>
  <c r="Q457" i="4"/>
  <c r="T457" i="4" s="1"/>
  <c r="L458" i="4"/>
  <c r="O458" i="4" s="1"/>
  <c r="Q458" i="4"/>
  <c r="T458" i="4" s="1"/>
  <c r="L459" i="4"/>
  <c r="O459" i="4" s="1"/>
  <c r="Q459" i="4"/>
  <c r="T459" i="4" s="1"/>
  <c r="L460" i="4"/>
  <c r="O460" i="4" s="1"/>
  <c r="Q460" i="4"/>
  <c r="T460" i="4" s="1"/>
  <c r="L461" i="4"/>
  <c r="O461" i="4" s="1"/>
  <c r="Q461" i="4"/>
  <c r="T461" i="4" s="1"/>
  <c r="L462" i="4"/>
  <c r="O462" i="4" s="1"/>
  <c r="Q462" i="4"/>
  <c r="T462" i="4" s="1"/>
  <c r="L463" i="4"/>
  <c r="O463" i="4" s="1"/>
  <c r="Q463" i="4"/>
  <c r="T463" i="4" s="1"/>
  <c r="L464" i="4"/>
  <c r="O464" i="4" s="1"/>
  <c r="Q464" i="4"/>
  <c r="T464" i="4" s="1"/>
  <c r="L465" i="4"/>
  <c r="O465" i="4" s="1"/>
  <c r="Q465" i="4"/>
  <c r="T465" i="4" s="1"/>
  <c r="L466" i="4"/>
  <c r="O466" i="4" s="1"/>
  <c r="Q466" i="4"/>
  <c r="T466" i="4" s="1"/>
  <c r="L467" i="4"/>
  <c r="O467" i="4" s="1"/>
  <c r="Q467" i="4"/>
  <c r="T467" i="4" s="1"/>
  <c r="L468" i="4"/>
  <c r="O468" i="4" s="1"/>
  <c r="Q468" i="4"/>
  <c r="T468" i="4" s="1"/>
  <c r="L469" i="4"/>
  <c r="O469" i="4" s="1"/>
  <c r="Q469" i="4"/>
  <c r="T469" i="4" s="1"/>
  <c r="L470" i="4"/>
  <c r="O470" i="4" s="1"/>
  <c r="Q470" i="4"/>
  <c r="T470" i="4" s="1"/>
  <c r="L471" i="4"/>
  <c r="O471" i="4" s="1"/>
  <c r="Q471" i="4"/>
  <c r="T471" i="4" s="1"/>
  <c r="L472" i="4"/>
  <c r="O472" i="4" s="1"/>
  <c r="Q472" i="4"/>
  <c r="T472" i="4" s="1"/>
  <c r="L473" i="4"/>
  <c r="O473" i="4" s="1"/>
  <c r="Q473" i="4"/>
  <c r="T473" i="4" s="1"/>
  <c r="L474" i="4"/>
  <c r="O474" i="4" s="1"/>
  <c r="Q474" i="4"/>
  <c r="T474" i="4" s="1"/>
  <c r="L475" i="4"/>
  <c r="O475" i="4" s="1"/>
  <c r="Q475" i="4"/>
  <c r="T475" i="4" s="1"/>
  <c r="L476" i="4"/>
  <c r="O476" i="4" s="1"/>
  <c r="Q476" i="4"/>
  <c r="T476" i="4" s="1"/>
  <c r="L477" i="4"/>
  <c r="O477" i="4" s="1"/>
  <c r="Q477" i="4"/>
  <c r="T477" i="4" s="1"/>
  <c r="L478" i="4"/>
  <c r="O478" i="4" s="1"/>
  <c r="Q478" i="4"/>
  <c r="T478" i="4" s="1"/>
  <c r="L479" i="4"/>
  <c r="O479" i="4" s="1"/>
  <c r="Q479" i="4"/>
  <c r="T479" i="4" s="1"/>
  <c r="L480" i="4"/>
  <c r="O480" i="4" s="1"/>
  <c r="Q480" i="4"/>
  <c r="T480" i="4" s="1"/>
  <c r="L481" i="4"/>
  <c r="O481" i="4" s="1"/>
  <c r="Q481" i="4"/>
  <c r="T481" i="4" s="1"/>
  <c r="L482" i="4"/>
  <c r="O482" i="4" s="1"/>
  <c r="Q482" i="4"/>
  <c r="T482" i="4" s="1"/>
  <c r="L483" i="4"/>
  <c r="O483" i="4" s="1"/>
  <c r="Q483" i="4"/>
  <c r="T483" i="4" s="1"/>
  <c r="L484" i="4"/>
  <c r="O484" i="4" s="1"/>
  <c r="Q484" i="4"/>
  <c r="T484" i="4" s="1"/>
  <c r="L485" i="4"/>
  <c r="O485" i="4" s="1"/>
  <c r="Q485" i="4"/>
  <c r="T485" i="4" s="1"/>
  <c r="L486" i="4"/>
  <c r="O486" i="4" s="1"/>
  <c r="Q486" i="4"/>
  <c r="T486" i="4" s="1"/>
  <c r="L487" i="4"/>
  <c r="O487" i="4" s="1"/>
  <c r="Q487" i="4"/>
  <c r="T487" i="4" s="1"/>
  <c r="L488" i="4"/>
  <c r="O488" i="4" s="1"/>
  <c r="Q488" i="4"/>
  <c r="T488" i="4" s="1"/>
  <c r="L489" i="4"/>
  <c r="O489" i="4" s="1"/>
  <c r="Q489" i="4"/>
  <c r="T489" i="4" s="1"/>
  <c r="L490" i="4"/>
  <c r="O490" i="4" s="1"/>
  <c r="Q490" i="4"/>
  <c r="T490" i="4" s="1"/>
  <c r="L491" i="4"/>
  <c r="O491" i="4" s="1"/>
  <c r="Q491" i="4"/>
  <c r="T491" i="4" s="1"/>
  <c r="L492" i="4"/>
  <c r="O492" i="4" s="1"/>
  <c r="Q492" i="4"/>
  <c r="T492" i="4" s="1"/>
  <c r="L493" i="4"/>
  <c r="O493" i="4" s="1"/>
  <c r="Q493" i="4"/>
  <c r="T493" i="4" s="1"/>
  <c r="L494" i="4"/>
  <c r="O494" i="4" s="1"/>
  <c r="Q494" i="4"/>
  <c r="T494" i="4" s="1"/>
  <c r="L495" i="4"/>
  <c r="O495" i="4" s="1"/>
  <c r="Q495" i="4"/>
  <c r="T495" i="4" s="1"/>
  <c r="L496" i="4"/>
  <c r="O496" i="4" s="1"/>
  <c r="Q496" i="4"/>
  <c r="T496" i="4" s="1"/>
  <c r="L497" i="4"/>
  <c r="O497" i="4" s="1"/>
  <c r="Q497" i="4"/>
  <c r="T497" i="4" s="1"/>
  <c r="L498" i="4"/>
  <c r="O498" i="4" s="1"/>
  <c r="Q498" i="4"/>
  <c r="T498" i="4" s="1"/>
  <c r="L499" i="4"/>
  <c r="O499" i="4" s="1"/>
  <c r="Q499" i="4"/>
  <c r="T499" i="4" s="1"/>
  <c r="L500" i="4"/>
  <c r="O500" i="4" s="1"/>
  <c r="Q500" i="4"/>
  <c r="T500" i="4" s="1"/>
  <c r="L501" i="4"/>
  <c r="O501" i="4" s="1"/>
  <c r="Q501" i="4"/>
  <c r="T501" i="4" s="1"/>
  <c r="L502" i="4"/>
  <c r="O502" i="4" s="1"/>
  <c r="Q502" i="4"/>
  <c r="T502" i="4" s="1"/>
  <c r="L503" i="4"/>
  <c r="O503" i="4" s="1"/>
  <c r="Q503" i="4"/>
  <c r="T503" i="4" s="1"/>
  <c r="L504" i="4"/>
  <c r="O504" i="4" s="1"/>
  <c r="Q504" i="4"/>
  <c r="T504" i="4" s="1"/>
  <c r="L505" i="4"/>
  <c r="O505" i="4" s="1"/>
  <c r="Q505" i="4"/>
  <c r="T505" i="4" s="1"/>
  <c r="L506" i="4"/>
  <c r="O506" i="4" s="1"/>
  <c r="Q506" i="4"/>
  <c r="T506" i="4" s="1"/>
  <c r="L507" i="4"/>
  <c r="O507" i="4" s="1"/>
  <c r="Q507" i="4"/>
  <c r="T507" i="4" s="1"/>
  <c r="L508" i="4"/>
  <c r="O508" i="4" s="1"/>
  <c r="Q508" i="4"/>
  <c r="T508" i="4" s="1"/>
  <c r="L509" i="4"/>
  <c r="O509" i="4" s="1"/>
  <c r="Q509" i="4"/>
  <c r="T509" i="4" s="1"/>
  <c r="L510" i="4"/>
  <c r="O510" i="4" s="1"/>
  <c r="Q510" i="4"/>
  <c r="T510" i="4" s="1"/>
  <c r="L511" i="4"/>
  <c r="O511" i="4" s="1"/>
  <c r="Q511" i="4"/>
  <c r="T511" i="4" s="1"/>
  <c r="L512" i="4"/>
  <c r="O512" i="4" s="1"/>
  <c r="Q512" i="4"/>
  <c r="T512" i="4" s="1"/>
  <c r="L513" i="4"/>
  <c r="O513" i="4" s="1"/>
  <c r="Q513" i="4"/>
  <c r="T513" i="4" s="1"/>
  <c r="L514" i="4"/>
  <c r="O514" i="4" s="1"/>
  <c r="Q514" i="4"/>
  <c r="T514" i="4" s="1"/>
  <c r="L515" i="4"/>
  <c r="O515" i="4" s="1"/>
  <c r="Q515" i="4"/>
  <c r="T515" i="4" s="1"/>
  <c r="L516" i="4"/>
  <c r="O516" i="4" s="1"/>
  <c r="Q516" i="4"/>
  <c r="T516" i="4" s="1"/>
  <c r="L517" i="4"/>
  <c r="O517" i="4" s="1"/>
  <c r="Q517" i="4"/>
  <c r="T517" i="4" s="1"/>
  <c r="L518" i="4"/>
  <c r="O518" i="4" s="1"/>
  <c r="Q518" i="4"/>
  <c r="T518" i="4" s="1"/>
  <c r="L519" i="4"/>
  <c r="O519" i="4" s="1"/>
  <c r="Q519" i="4"/>
  <c r="T519" i="4" s="1"/>
  <c r="L520" i="4"/>
  <c r="O520" i="4" s="1"/>
  <c r="Q520" i="4"/>
  <c r="T520" i="4" s="1"/>
  <c r="L521" i="4"/>
  <c r="O521" i="4" s="1"/>
  <c r="Q521" i="4"/>
  <c r="T521" i="4" s="1"/>
  <c r="L522" i="4"/>
  <c r="O522" i="4" s="1"/>
  <c r="Q522" i="4"/>
  <c r="T522" i="4" s="1"/>
  <c r="L523" i="4"/>
  <c r="O523" i="4" s="1"/>
  <c r="Q523" i="4"/>
  <c r="T523" i="4" s="1"/>
  <c r="L524" i="4"/>
  <c r="O524" i="4" s="1"/>
  <c r="Q524" i="4"/>
  <c r="T524" i="4" s="1"/>
  <c r="L525" i="4"/>
  <c r="O525" i="4" s="1"/>
  <c r="Q525" i="4"/>
  <c r="T525" i="4" s="1"/>
  <c r="L526" i="4"/>
  <c r="O526" i="4" s="1"/>
  <c r="Q526" i="4"/>
  <c r="T526" i="4" s="1"/>
  <c r="L527" i="4"/>
  <c r="O527" i="4" s="1"/>
  <c r="Q527" i="4"/>
  <c r="T527" i="4" s="1"/>
  <c r="L528" i="4"/>
  <c r="O528" i="4" s="1"/>
  <c r="Q528" i="4"/>
  <c r="T528" i="4" s="1"/>
  <c r="L529" i="4"/>
  <c r="O529" i="4" s="1"/>
  <c r="Q529" i="4"/>
  <c r="T529" i="4" s="1"/>
  <c r="L530" i="4"/>
  <c r="O530" i="4" s="1"/>
  <c r="Q530" i="4"/>
  <c r="T530" i="4" s="1"/>
  <c r="L531" i="4"/>
  <c r="O531" i="4" s="1"/>
  <c r="Q531" i="4"/>
  <c r="T531" i="4" s="1"/>
  <c r="L532" i="4"/>
  <c r="O532" i="4" s="1"/>
  <c r="Q532" i="4"/>
  <c r="T532" i="4" s="1"/>
  <c r="L533" i="4"/>
  <c r="O533" i="4" s="1"/>
  <c r="Q533" i="4"/>
  <c r="T533" i="4" s="1"/>
  <c r="L534" i="4"/>
  <c r="O534" i="4" s="1"/>
  <c r="Q534" i="4"/>
  <c r="T534" i="4" s="1"/>
  <c r="L535" i="4"/>
  <c r="O535" i="4" s="1"/>
  <c r="Q535" i="4"/>
  <c r="T535" i="4" s="1"/>
  <c r="L536" i="4"/>
  <c r="O536" i="4" s="1"/>
  <c r="Q536" i="4"/>
  <c r="T536" i="4" s="1"/>
  <c r="L537" i="4"/>
  <c r="O537" i="4" s="1"/>
  <c r="Q537" i="4"/>
  <c r="T537" i="4" s="1"/>
  <c r="L538" i="4"/>
  <c r="O538" i="4" s="1"/>
  <c r="Q538" i="4"/>
  <c r="T538" i="4" s="1"/>
  <c r="L539" i="4"/>
  <c r="O539" i="4" s="1"/>
  <c r="Q539" i="4"/>
  <c r="T539" i="4" s="1"/>
  <c r="L540" i="4"/>
  <c r="O540" i="4" s="1"/>
  <c r="Q540" i="4"/>
  <c r="T540" i="4" s="1"/>
  <c r="L541" i="4"/>
  <c r="O541" i="4" s="1"/>
  <c r="Q541" i="4"/>
  <c r="T541" i="4" s="1"/>
  <c r="L542" i="4"/>
  <c r="O542" i="4" s="1"/>
  <c r="Q542" i="4"/>
  <c r="T542" i="4" s="1"/>
  <c r="L543" i="4"/>
  <c r="O543" i="4" s="1"/>
  <c r="Q543" i="4"/>
  <c r="T543" i="4" s="1"/>
  <c r="L544" i="4"/>
  <c r="O544" i="4" s="1"/>
  <c r="Q544" i="4"/>
  <c r="T544" i="4" s="1"/>
  <c r="L545" i="4"/>
  <c r="O545" i="4" s="1"/>
  <c r="Q545" i="4"/>
  <c r="T545" i="4" s="1"/>
  <c r="L546" i="4"/>
  <c r="O546" i="4" s="1"/>
  <c r="Q546" i="4"/>
  <c r="T546" i="4" s="1"/>
  <c r="L547" i="4"/>
  <c r="O547" i="4" s="1"/>
  <c r="Q547" i="4"/>
  <c r="T547" i="4" s="1"/>
  <c r="L548" i="4"/>
  <c r="O548" i="4" s="1"/>
  <c r="Q548" i="4"/>
  <c r="T548" i="4" s="1"/>
  <c r="L549" i="4"/>
  <c r="O549" i="4" s="1"/>
  <c r="Q549" i="4"/>
  <c r="T549" i="4" s="1"/>
  <c r="L550" i="4"/>
  <c r="O550" i="4" s="1"/>
  <c r="Q550" i="4"/>
  <c r="T550" i="4" s="1"/>
  <c r="L551" i="4"/>
  <c r="O551" i="4" s="1"/>
  <c r="Q551" i="4"/>
  <c r="T551" i="4" s="1"/>
  <c r="L552" i="4"/>
  <c r="O552" i="4" s="1"/>
  <c r="Q552" i="4"/>
  <c r="T552" i="4" s="1"/>
  <c r="L553" i="4"/>
  <c r="O553" i="4" s="1"/>
  <c r="Q553" i="4"/>
  <c r="T553" i="4" s="1"/>
  <c r="L554" i="4"/>
  <c r="O554" i="4" s="1"/>
  <c r="Q554" i="4"/>
  <c r="T554" i="4" s="1"/>
  <c r="L555" i="4"/>
  <c r="O555" i="4" s="1"/>
  <c r="Q555" i="4"/>
  <c r="T555" i="4" s="1"/>
  <c r="L556" i="4"/>
  <c r="O556" i="4" s="1"/>
  <c r="Q556" i="4"/>
  <c r="T556" i="4" s="1"/>
  <c r="L557" i="4"/>
  <c r="O557" i="4" s="1"/>
  <c r="Q557" i="4"/>
  <c r="T557" i="4" s="1"/>
  <c r="L558" i="4"/>
  <c r="O558" i="4" s="1"/>
  <c r="Q558" i="4"/>
  <c r="T558" i="4" s="1"/>
  <c r="L559" i="4"/>
  <c r="O559" i="4" s="1"/>
  <c r="Q559" i="4"/>
  <c r="T559" i="4" s="1"/>
  <c r="L560" i="4"/>
  <c r="O560" i="4" s="1"/>
  <c r="Q560" i="4"/>
  <c r="T560" i="4" s="1"/>
  <c r="L561" i="4"/>
  <c r="O561" i="4" s="1"/>
  <c r="Q561" i="4"/>
  <c r="T561" i="4" s="1"/>
  <c r="L562" i="4"/>
  <c r="O562" i="4" s="1"/>
  <c r="Q562" i="4"/>
  <c r="T562" i="4" s="1"/>
  <c r="L563" i="4"/>
  <c r="O563" i="4" s="1"/>
  <c r="Q563" i="4"/>
  <c r="T563" i="4" s="1"/>
  <c r="L564" i="4"/>
  <c r="O564" i="4" s="1"/>
  <c r="Q564" i="4"/>
  <c r="T564" i="4" s="1"/>
  <c r="L565" i="4"/>
  <c r="O565" i="4" s="1"/>
  <c r="Q565" i="4"/>
  <c r="T565" i="4" s="1"/>
  <c r="L566" i="4"/>
  <c r="O566" i="4" s="1"/>
  <c r="Q566" i="4"/>
  <c r="T566" i="4" s="1"/>
  <c r="L567" i="4"/>
  <c r="O567" i="4" s="1"/>
  <c r="Q567" i="4"/>
  <c r="T567" i="4" s="1"/>
  <c r="L568" i="4"/>
  <c r="O568" i="4" s="1"/>
  <c r="Q568" i="4"/>
  <c r="T568" i="4" s="1"/>
  <c r="L569" i="4"/>
  <c r="O569" i="4" s="1"/>
  <c r="Q569" i="4"/>
  <c r="T569" i="4" s="1"/>
  <c r="L570" i="4"/>
  <c r="O570" i="4" s="1"/>
  <c r="Q570" i="4"/>
  <c r="T570" i="4" s="1"/>
  <c r="L571" i="4"/>
  <c r="O571" i="4" s="1"/>
  <c r="Q571" i="4"/>
  <c r="T571" i="4" s="1"/>
  <c r="L572" i="4"/>
  <c r="O572" i="4" s="1"/>
  <c r="Q572" i="4"/>
  <c r="T572" i="4" s="1"/>
  <c r="L573" i="4"/>
  <c r="O573" i="4" s="1"/>
  <c r="Q573" i="4"/>
  <c r="T573" i="4" s="1"/>
  <c r="L574" i="4"/>
  <c r="O574" i="4" s="1"/>
  <c r="Q574" i="4"/>
  <c r="T574" i="4" s="1"/>
  <c r="L575" i="4"/>
  <c r="O575" i="4" s="1"/>
  <c r="Q575" i="4"/>
  <c r="T575" i="4" s="1"/>
  <c r="L576" i="4"/>
  <c r="O576" i="4" s="1"/>
  <c r="Q576" i="4"/>
  <c r="T576" i="4" s="1"/>
  <c r="L577" i="4"/>
  <c r="O577" i="4" s="1"/>
  <c r="Q577" i="4"/>
  <c r="T577" i="4" s="1"/>
  <c r="L578" i="4"/>
  <c r="O578" i="4" s="1"/>
  <c r="Q578" i="4"/>
  <c r="T578" i="4" s="1"/>
  <c r="L579" i="4"/>
  <c r="O579" i="4" s="1"/>
  <c r="Q579" i="4"/>
  <c r="T579" i="4" s="1"/>
  <c r="L580" i="4"/>
  <c r="O580" i="4" s="1"/>
  <c r="Q580" i="4"/>
  <c r="T580" i="4" s="1"/>
  <c r="L581" i="4"/>
  <c r="O581" i="4" s="1"/>
  <c r="Q581" i="4"/>
  <c r="T581" i="4" s="1"/>
  <c r="L582" i="4"/>
  <c r="O582" i="4" s="1"/>
  <c r="Q582" i="4"/>
  <c r="T582" i="4" s="1"/>
  <c r="L583" i="4"/>
  <c r="O583" i="4" s="1"/>
  <c r="Q583" i="4"/>
  <c r="T583" i="4" s="1"/>
  <c r="L584" i="4"/>
  <c r="O584" i="4" s="1"/>
  <c r="Q584" i="4"/>
  <c r="T584" i="4" s="1"/>
  <c r="L585" i="4"/>
  <c r="O585" i="4" s="1"/>
  <c r="Q585" i="4"/>
  <c r="T585" i="4" s="1"/>
  <c r="L586" i="4"/>
  <c r="O586" i="4" s="1"/>
  <c r="Q586" i="4"/>
  <c r="T586" i="4" s="1"/>
  <c r="L587" i="4"/>
  <c r="O587" i="4" s="1"/>
  <c r="Q587" i="4"/>
  <c r="T587" i="4" s="1"/>
  <c r="L588" i="4"/>
  <c r="O588" i="4" s="1"/>
  <c r="Q588" i="4"/>
  <c r="T588" i="4" s="1"/>
  <c r="L589" i="4"/>
  <c r="O589" i="4" s="1"/>
  <c r="Q589" i="4"/>
  <c r="T589" i="4" s="1"/>
  <c r="L590" i="4"/>
  <c r="O590" i="4" s="1"/>
  <c r="Q590" i="4"/>
  <c r="T590" i="4" s="1"/>
  <c r="L591" i="4"/>
  <c r="O591" i="4" s="1"/>
  <c r="Q591" i="4"/>
  <c r="T591" i="4" s="1"/>
  <c r="L592" i="4"/>
  <c r="O592" i="4" s="1"/>
  <c r="Q592" i="4"/>
  <c r="T592" i="4" s="1"/>
  <c r="L593" i="4"/>
  <c r="O593" i="4" s="1"/>
  <c r="Q593" i="4"/>
  <c r="T593" i="4" s="1"/>
  <c r="L594" i="4"/>
  <c r="O594" i="4" s="1"/>
  <c r="Q594" i="4"/>
  <c r="T594" i="4" s="1"/>
  <c r="L595" i="4"/>
  <c r="O595" i="4" s="1"/>
  <c r="Q595" i="4"/>
  <c r="T595" i="4" s="1"/>
  <c r="L596" i="4"/>
  <c r="O596" i="4" s="1"/>
  <c r="Q596" i="4"/>
  <c r="T596" i="4" s="1"/>
  <c r="L597" i="4"/>
  <c r="O597" i="4" s="1"/>
  <c r="Q597" i="4"/>
  <c r="T597" i="4" s="1"/>
  <c r="L598" i="4"/>
  <c r="O598" i="4" s="1"/>
  <c r="Q598" i="4"/>
  <c r="T598" i="4" s="1"/>
  <c r="L599" i="4"/>
  <c r="O599" i="4" s="1"/>
  <c r="Q599" i="4"/>
  <c r="T599" i="4" s="1"/>
  <c r="L600" i="4"/>
  <c r="O600" i="4" s="1"/>
  <c r="Q600" i="4"/>
  <c r="T600" i="4" s="1"/>
  <c r="L601" i="4"/>
  <c r="O601" i="4" s="1"/>
  <c r="Q601" i="4"/>
  <c r="T601" i="4" s="1"/>
  <c r="L602" i="4"/>
  <c r="O602" i="4" s="1"/>
  <c r="Q602" i="4"/>
  <c r="T602" i="4" s="1"/>
  <c r="L603" i="4"/>
  <c r="O603" i="4" s="1"/>
  <c r="Q603" i="4"/>
  <c r="T603" i="4" s="1"/>
  <c r="L604" i="4"/>
  <c r="O604" i="4" s="1"/>
  <c r="Q604" i="4"/>
  <c r="T604" i="4" s="1"/>
  <c r="L605" i="4"/>
  <c r="O605" i="4" s="1"/>
  <c r="Q605" i="4"/>
  <c r="T605" i="4" s="1"/>
  <c r="L606" i="4"/>
  <c r="O606" i="4" s="1"/>
  <c r="Q606" i="4"/>
  <c r="T606" i="4" s="1"/>
  <c r="L607" i="4"/>
  <c r="O607" i="4" s="1"/>
  <c r="Q607" i="4"/>
  <c r="T607" i="4" s="1"/>
  <c r="L608" i="4"/>
  <c r="O608" i="4" s="1"/>
  <c r="Q608" i="4"/>
  <c r="T608" i="4" s="1"/>
  <c r="L609" i="4"/>
  <c r="O609" i="4" s="1"/>
  <c r="Q609" i="4"/>
  <c r="T609" i="4" s="1"/>
  <c r="L610" i="4"/>
  <c r="O610" i="4" s="1"/>
  <c r="Q610" i="4"/>
  <c r="T610" i="4" s="1"/>
  <c r="L611" i="4"/>
  <c r="O611" i="4" s="1"/>
  <c r="Q611" i="4"/>
  <c r="T611" i="4" s="1"/>
  <c r="L612" i="4"/>
  <c r="O612" i="4" s="1"/>
  <c r="Q612" i="4"/>
  <c r="T612" i="4" s="1"/>
  <c r="L613" i="4"/>
  <c r="O613" i="4" s="1"/>
  <c r="Q613" i="4"/>
  <c r="T613" i="4" s="1"/>
  <c r="L614" i="4"/>
  <c r="O614" i="4" s="1"/>
  <c r="Q614" i="4"/>
  <c r="T614" i="4" s="1"/>
  <c r="L615" i="4"/>
  <c r="O615" i="4" s="1"/>
  <c r="Q615" i="4"/>
  <c r="T615" i="4" s="1"/>
  <c r="L616" i="4"/>
  <c r="O616" i="4" s="1"/>
  <c r="Q616" i="4"/>
  <c r="T616" i="4" s="1"/>
  <c r="L617" i="4"/>
  <c r="O617" i="4" s="1"/>
  <c r="Q617" i="4"/>
  <c r="T617" i="4" s="1"/>
  <c r="L618" i="4"/>
  <c r="O618" i="4" s="1"/>
  <c r="Q618" i="4"/>
  <c r="T618" i="4" s="1"/>
  <c r="L619" i="4"/>
  <c r="O619" i="4" s="1"/>
  <c r="Q619" i="4"/>
  <c r="T619" i="4" s="1"/>
  <c r="L620" i="4"/>
  <c r="O620" i="4" s="1"/>
  <c r="Q620" i="4"/>
  <c r="T620" i="4" s="1"/>
  <c r="L621" i="4"/>
  <c r="O621" i="4" s="1"/>
  <c r="Q621" i="4"/>
  <c r="T621" i="4" s="1"/>
  <c r="L622" i="4"/>
  <c r="O622" i="4" s="1"/>
  <c r="Q622" i="4"/>
  <c r="T622" i="4" s="1"/>
  <c r="L623" i="4"/>
  <c r="O623" i="4" s="1"/>
  <c r="Q623" i="4"/>
  <c r="T623" i="4" s="1"/>
  <c r="L624" i="4"/>
  <c r="O624" i="4" s="1"/>
  <c r="Q624" i="4"/>
  <c r="T624" i="4" s="1"/>
  <c r="L625" i="4"/>
  <c r="O625" i="4" s="1"/>
  <c r="Q625" i="4"/>
  <c r="T625" i="4" s="1"/>
  <c r="L626" i="4"/>
  <c r="O626" i="4" s="1"/>
  <c r="Q626" i="4"/>
  <c r="T626" i="4" s="1"/>
  <c r="L627" i="4"/>
  <c r="O627" i="4" s="1"/>
  <c r="Q627" i="4"/>
  <c r="T627" i="4" s="1"/>
  <c r="L628" i="4"/>
  <c r="O628" i="4" s="1"/>
  <c r="Q628" i="4"/>
  <c r="T628" i="4" s="1"/>
  <c r="L629" i="4"/>
  <c r="O629" i="4" s="1"/>
  <c r="Q629" i="4"/>
  <c r="T629" i="4" s="1"/>
  <c r="L630" i="4"/>
  <c r="O630" i="4" s="1"/>
  <c r="Q630" i="4"/>
  <c r="T630" i="4" s="1"/>
  <c r="L631" i="4"/>
  <c r="O631" i="4" s="1"/>
  <c r="Q631" i="4"/>
  <c r="T631" i="4" s="1"/>
  <c r="L632" i="4"/>
  <c r="O632" i="4" s="1"/>
  <c r="Q632" i="4"/>
  <c r="T632" i="4" s="1"/>
  <c r="L633" i="4"/>
  <c r="O633" i="4" s="1"/>
  <c r="Q633" i="4"/>
  <c r="T633" i="4" s="1"/>
  <c r="L634" i="4"/>
  <c r="O634" i="4" s="1"/>
  <c r="Q634" i="4"/>
  <c r="T634" i="4" s="1"/>
  <c r="L635" i="4"/>
  <c r="O635" i="4" s="1"/>
  <c r="Q635" i="4"/>
  <c r="T635" i="4" s="1"/>
  <c r="L636" i="4"/>
  <c r="O636" i="4" s="1"/>
  <c r="Q636" i="4"/>
  <c r="T636" i="4" s="1"/>
  <c r="L637" i="4"/>
  <c r="O637" i="4" s="1"/>
  <c r="Q637" i="4"/>
  <c r="T637" i="4" s="1"/>
  <c r="L638" i="4"/>
  <c r="O638" i="4" s="1"/>
  <c r="Q638" i="4"/>
  <c r="T638" i="4" s="1"/>
  <c r="L639" i="4"/>
  <c r="O639" i="4" s="1"/>
  <c r="Q639" i="4"/>
  <c r="T639" i="4" s="1"/>
  <c r="L640" i="4"/>
  <c r="O640" i="4" s="1"/>
  <c r="Q640" i="4"/>
  <c r="T640" i="4" s="1"/>
  <c r="L641" i="4"/>
  <c r="O641" i="4" s="1"/>
  <c r="Q641" i="4"/>
  <c r="T641" i="4" s="1"/>
  <c r="L642" i="4"/>
  <c r="O642" i="4" s="1"/>
  <c r="Q642" i="4"/>
  <c r="T642" i="4" s="1"/>
  <c r="L643" i="4"/>
  <c r="O643" i="4" s="1"/>
  <c r="Q643" i="4"/>
  <c r="T643" i="4" s="1"/>
  <c r="L644" i="4"/>
  <c r="O644" i="4" s="1"/>
  <c r="Q644" i="4"/>
  <c r="T644" i="4" s="1"/>
  <c r="L645" i="4"/>
  <c r="O645" i="4" s="1"/>
  <c r="Q645" i="4"/>
  <c r="T645" i="4" s="1"/>
  <c r="L646" i="4"/>
  <c r="O646" i="4" s="1"/>
  <c r="Q646" i="4"/>
  <c r="T646" i="4" s="1"/>
  <c r="L647" i="4"/>
  <c r="O647" i="4" s="1"/>
  <c r="Q647" i="4"/>
  <c r="T647" i="4" s="1"/>
  <c r="L648" i="4"/>
  <c r="O648" i="4" s="1"/>
  <c r="Q648" i="4"/>
  <c r="T648" i="4" s="1"/>
  <c r="L649" i="4"/>
  <c r="O649" i="4" s="1"/>
  <c r="Q649" i="4"/>
  <c r="T649" i="4" s="1"/>
  <c r="L650" i="4"/>
  <c r="O650" i="4" s="1"/>
  <c r="Q650" i="4"/>
  <c r="T650" i="4" s="1"/>
  <c r="L651" i="4"/>
  <c r="O651" i="4" s="1"/>
  <c r="Q651" i="4"/>
  <c r="T651" i="4" s="1"/>
  <c r="L652" i="4"/>
  <c r="O652" i="4" s="1"/>
  <c r="Q652" i="4"/>
  <c r="T652" i="4" s="1"/>
  <c r="L653" i="4"/>
  <c r="O653" i="4" s="1"/>
  <c r="Q653" i="4"/>
  <c r="T653" i="4" s="1"/>
  <c r="L654" i="4"/>
  <c r="O654" i="4" s="1"/>
  <c r="Q654" i="4"/>
  <c r="T654" i="4" s="1"/>
  <c r="L655" i="4"/>
  <c r="O655" i="4" s="1"/>
  <c r="Q655" i="4"/>
  <c r="T655" i="4" s="1"/>
  <c r="L656" i="4"/>
  <c r="O656" i="4" s="1"/>
  <c r="Q656" i="4"/>
  <c r="T656" i="4" s="1"/>
  <c r="L657" i="4"/>
  <c r="O657" i="4" s="1"/>
  <c r="Q657" i="4"/>
  <c r="T657" i="4" s="1"/>
  <c r="L658" i="4"/>
  <c r="O658" i="4" s="1"/>
  <c r="Q658" i="4"/>
  <c r="T658" i="4" s="1"/>
  <c r="L659" i="4"/>
  <c r="O659" i="4" s="1"/>
  <c r="Q659" i="4"/>
  <c r="T659" i="4" s="1"/>
  <c r="L660" i="4"/>
  <c r="O660" i="4" s="1"/>
  <c r="Q660" i="4"/>
  <c r="T660" i="4" s="1"/>
  <c r="L661" i="4"/>
  <c r="O661" i="4" s="1"/>
  <c r="Q661" i="4"/>
  <c r="T661" i="4" s="1"/>
  <c r="L662" i="4"/>
  <c r="O662" i="4" s="1"/>
  <c r="Q662" i="4"/>
  <c r="T662" i="4" s="1"/>
  <c r="L663" i="4"/>
  <c r="O663" i="4" s="1"/>
  <c r="Q663" i="4"/>
  <c r="T663" i="4" s="1"/>
  <c r="L664" i="4"/>
  <c r="O664" i="4" s="1"/>
  <c r="Q664" i="4"/>
  <c r="T664" i="4" s="1"/>
  <c r="L665" i="4"/>
  <c r="O665" i="4" s="1"/>
  <c r="Q665" i="4"/>
  <c r="T665" i="4" s="1"/>
  <c r="L666" i="4"/>
  <c r="O666" i="4" s="1"/>
  <c r="Q666" i="4"/>
  <c r="T666" i="4" s="1"/>
  <c r="L667" i="4"/>
  <c r="O667" i="4" s="1"/>
  <c r="Q667" i="4"/>
  <c r="T667" i="4" s="1"/>
  <c r="L668" i="4"/>
  <c r="O668" i="4" s="1"/>
  <c r="Q668" i="4"/>
  <c r="T668" i="4" s="1"/>
  <c r="L669" i="4"/>
  <c r="O669" i="4" s="1"/>
  <c r="Q669" i="4"/>
  <c r="T669" i="4" s="1"/>
  <c r="L670" i="4"/>
  <c r="O670" i="4" s="1"/>
  <c r="Q670" i="4"/>
  <c r="T670" i="4" s="1"/>
  <c r="L671" i="4"/>
  <c r="O671" i="4" s="1"/>
  <c r="Q671" i="4"/>
  <c r="T671" i="4" s="1"/>
  <c r="L672" i="4"/>
  <c r="O672" i="4" s="1"/>
  <c r="Q672" i="4"/>
  <c r="T672" i="4" s="1"/>
  <c r="L673" i="4"/>
  <c r="O673" i="4" s="1"/>
  <c r="Q673" i="4"/>
  <c r="T673" i="4" s="1"/>
  <c r="L674" i="4"/>
  <c r="O674" i="4" s="1"/>
  <c r="Q674" i="4"/>
  <c r="T674" i="4" s="1"/>
  <c r="L675" i="4"/>
  <c r="O675" i="4" s="1"/>
  <c r="Q675" i="4"/>
  <c r="T675" i="4" s="1"/>
  <c r="L676" i="4"/>
  <c r="O676" i="4" s="1"/>
  <c r="Q676" i="4"/>
  <c r="T676" i="4" s="1"/>
  <c r="L677" i="4"/>
  <c r="O677" i="4" s="1"/>
  <c r="Q677" i="4"/>
  <c r="T677" i="4" s="1"/>
  <c r="L678" i="4"/>
  <c r="O678" i="4" s="1"/>
  <c r="Q678" i="4"/>
  <c r="T678" i="4" s="1"/>
  <c r="L679" i="4"/>
  <c r="O679" i="4" s="1"/>
  <c r="Q679" i="4"/>
  <c r="T679" i="4" s="1"/>
  <c r="L680" i="4"/>
  <c r="O680" i="4" s="1"/>
  <c r="Q680" i="4"/>
  <c r="T680" i="4" s="1"/>
  <c r="L681" i="4"/>
  <c r="O681" i="4" s="1"/>
  <c r="Q681" i="4"/>
  <c r="T681" i="4" s="1"/>
  <c r="L682" i="4"/>
  <c r="O682" i="4" s="1"/>
  <c r="Q682" i="4"/>
  <c r="T682" i="4" s="1"/>
  <c r="L683" i="4"/>
  <c r="O683" i="4" s="1"/>
  <c r="Q683" i="4"/>
  <c r="T683" i="4" s="1"/>
  <c r="L684" i="4"/>
  <c r="O684" i="4" s="1"/>
  <c r="Q684" i="4"/>
  <c r="T684" i="4" s="1"/>
  <c r="L685" i="4"/>
  <c r="O685" i="4" s="1"/>
  <c r="Q685" i="4"/>
  <c r="T685" i="4" s="1"/>
  <c r="L686" i="4"/>
  <c r="O686" i="4" s="1"/>
  <c r="Q686" i="4"/>
  <c r="T686" i="4" s="1"/>
  <c r="L687" i="4"/>
  <c r="O687" i="4" s="1"/>
  <c r="Q687" i="4"/>
  <c r="T687" i="4" s="1"/>
  <c r="L688" i="4"/>
  <c r="O688" i="4" s="1"/>
  <c r="Q688" i="4"/>
  <c r="T688" i="4" s="1"/>
  <c r="L689" i="4"/>
  <c r="O689" i="4" s="1"/>
  <c r="Q689" i="4"/>
  <c r="T689" i="4" s="1"/>
  <c r="L690" i="4"/>
  <c r="O690" i="4" s="1"/>
  <c r="Q690" i="4"/>
  <c r="T690" i="4" s="1"/>
  <c r="L691" i="4"/>
  <c r="O691" i="4" s="1"/>
  <c r="Q691" i="4"/>
  <c r="T691" i="4" s="1"/>
  <c r="L692" i="4"/>
  <c r="O692" i="4" s="1"/>
  <c r="Q692" i="4"/>
  <c r="T692" i="4" s="1"/>
  <c r="L693" i="4"/>
  <c r="O693" i="4" s="1"/>
  <c r="Q693" i="4"/>
  <c r="T693" i="4" s="1"/>
  <c r="L694" i="4"/>
  <c r="O694" i="4" s="1"/>
  <c r="Q694" i="4"/>
  <c r="T694" i="4" s="1"/>
  <c r="L695" i="4"/>
  <c r="O695" i="4" s="1"/>
  <c r="Q695" i="4"/>
  <c r="T695" i="4" s="1"/>
  <c r="L696" i="4"/>
  <c r="O696" i="4" s="1"/>
  <c r="Q696" i="4"/>
  <c r="T696" i="4" s="1"/>
  <c r="L697" i="4"/>
  <c r="O697" i="4" s="1"/>
  <c r="Q697" i="4"/>
  <c r="T697" i="4" s="1"/>
  <c r="L698" i="4"/>
  <c r="O698" i="4" s="1"/>
  <c r="Q698" i="4"/>
  <c r="T698" i="4" s="1"/>
  <c r="L699" i="4"/>
  <c r="O699" i="4" s="1"/>
  <c r="Q699" i="4"/>
  <c r="T699" i="4" s="1"/>
  <c r="L700" i="4"/>
  <c r="O700" i="4" s="1"/>
  <c r="Q700" i="4"/>
  <c r="T700" i="4" s="1"/>
  <c r="L701" i="4"/>
  <c r="O701" i="4" s="1"/>
  <c r="Q701" i="4"/>
  <c r="T701" i="4" s="1"/>
  <c r="L702" i="4"/>
  <c r="O702" i="4" s="1"/>
  <c r="Q702" i="4"/>
  <c r="T702" i="4" s="1"/>
  <c r="L703" i="4"/>
  <c r="O703" i="4" s="1"/>
  <c r="Q703" i="4"/>
  <c r="T703" i="4" s="1"/>
  <c r="L704" i="4"/>
  <c r="O704" i="4" s="1"/>
  <c r="Q704" i="4"/>
  <c r="T704" i="4" s="1"/>
  <c r="L705" i="4"/>
  <c r="O705" i="4" s="1"/>
  <c r="Q705" i="4"/>
  <c r="T705" i="4" s="1"/>
  <c r="L706" i="4"/>
  <c r="O706" i="4" s="1"/>
  <c r="Q706" i="4"/>
  <c r="T706" i="4" s="1"/>
  <c r="L707" i="4"/>
  <c r="O707" i="4" s="1"/>
  <c r="Q707" i="4"/>
  <c r="T707" i="4" s="1"/>
  <c r="L708" i="4"/>
  <c r="O708" i="4" s="1"/>
  <c r="Q708" i="4"/>
  <c r="T708" i="4" s="1"/>
  <c r="L709" i="4"/>
  <c r="O709" i="4" s="1"/>
  <c r="Q709" i="4"/>
  <c r="T709" i="4" s="1"/>
  <c r="L710" i="4"/>
  <c r="O710" i="4" s="1"/>
  <c r="Q710" i="4"/>
  <c r="T710" i="4" s="1"/>
  <c r="L711" i="4"/>
  <c r="O711" i="4" s="1"/>
  <c r="Q711" i="4"/>
  <c r="T711" i="4" s="1"/>
  <c r="L712" i="4"/>
  <c r="O712" i="4" s="1"/>
  <c r="Q712" i="4"/>
  <c r="T712" i="4" s="1"/>
  <c r="L713" i="4"/>
  <c r="O713" i="4" s="1"/>
  <c r="Q713" i="4"/>
  <c r="T713" i="4" s="1"/>
  <c r="L714" i="4"/>
  <c r="O714" i="4" s="1"/>
  <c r="Q714" i="4"/>
  <c r="T714" i="4" s="1"/>
  <c r="L715" i="4"/>
  <c r="O715" i="4" s="1"/>
  <c r="Q715" i="4"/>
  <c r="T715" i="4" s="1"/>
  <c r="L716" i="4"/>
  <c r="O716" i="4" s="1"/>
  <c r="Q716" i="4"/>
  <c r="T716" i="4" s="1"/>
  <c r="L717" i="4"/>
  <c r="O717" i="4" s="1"/>
  <c r="Q717" i="4"/>
  <c r="T717" i="4" s="1"/>
  <c r="L718" i="4"/>
  <c r="O718" i="4" s="1"/>
  <c r="Q718" i="4"/>
  <c r="T718" i="4" s="1"/>
  <c r="L719" i="4"/>
  <c r="O719" i="4" s="1"/>
  <c r="Q719" i="4"/>
  <c r="T719" i="4" s="1"/>
  <c r="L720" i="4"/>
  <c r="O720" i="4" s="1"/>
  <c r="Q720" i="4"/>
  <c r="T720" i="4" s="1"/>
  <c r="L721" i="4"/>
  <c r="O721" i="4" s="1"/>
  <c r="Q721" i="4"/>
  <c r="T721" i="4" s="1"/>
  <c r="L722" i="4"/>
  <c r="O722" i="4" s="1"/>
  <c r="Q722" i="4"/>
  <c r="T722" i="4" s="1"/>
  <c r="L723" i="4"/>
  <c r="O723" i="4" s="1"/>
  <c r="Q723" i="4"/>
  <c r="T723" i="4" s="1"/>
  <c r="L724" i="4"/>
  <c r="O724" i="4" s="1"/>
  <c r="Q724" i="4"/>
  <c r="T724" i="4" s="1"/>
  <c r="L725" i="4"/>
  <c r="O725" i="4" s="1"/>
  <c r="Q725" i="4"/>
  <c r="T725" i="4" s="1"/>
  <c r="L726" i="4"/>
  <c r="O726" i="4" s="1"/>
  <c r="Q726" i="4"/>
  <c r="T726" i="4" s="1"/>
  <c r="L727" i="4"/>
  <c r="O727" i="4" s="1"/>
  <c r="Q727" i="4"/>
  <c r="T727" i="4" s="1"/>
  <c r="L728" i="4"/>
  <c r="O728" i="4" s="1"/>
  <c r="Q728" i="4"/>
  <c r="T728" i="4" s="1"/>
  <c r="L729" i="4"/>
  <c r="O729" i="4" s="1"/>
  <c r="Q729" i="4"/>
  <c r="T729" i="4" s="1"/>
  <c r="L730" i="4"/>
  <c r="O730" i="4" s="1"/>
  <c r="Q730" i="4"/>
  <c r="T730" i="4" s="1"/>
  <c r="L731" i="4"/>
  <c r="O731" i="4" s="1"/>
  <c r="Q731" i="4"/>
  <c r="T731" i="4" s="1"/>
  <c r="L732" i="4"/>
  <c r="O732" i="4" s="1"/>
  <c r="Q732" i="4"/>
  <c r="T732" i="4" s="1"/>
  <c r="L733" i="4"/>
  <c r="O733" i="4" s="1"/>
  <c r="Q733" i="4"/>
  <c r="T733" i="4" s="1"/>
  <c r="L734" i="4"/>
  <c r="O734" i="4" s="1"/>
  <c r="Q734" i="4"/>
  <c r="T734" i="4" s="1"/>
  <c r="L735" i="4"/>
  <c r="O735" i="4" s="1"/>
  <c r="Q735" i="4"/>
  <c r="T735" i="4" s="1"/>
  <c r="L736" i="4"/>
  <c r="O736" i="4" s="1"/>
  <c r="Q736" i="4"/>
  <c r="T736" i="4" s="1"/>
  <c r="L737" i="4"/>
  <c r="O737" i="4" s="1"/>
  <c r="Q737" i="4"/>
  <c r="T737" i="4" s="1"/>
  <c r="L738" i="4"/>
  <c r="O738" i="4" s="1"/>
  <c r="Q738" i="4"/>
  <c r="T738" i="4" s="1"/>
  <c r="L739" i="4"/>
  <c r="O739" i="4" s="1"/>
  <c r="Q739" i="4"/>
  <c r="T739" i="4" s="1"/>
  <c r="L740" i="4"/>
  <c r="O740" i="4" s="1"/>
  <c r="Q740" i="4"/>
  <c r="T740" i="4" s="1"/>
  <c r="L741" i="4"/>
  <c r="O741" i="4" s="1"/>
  <c r="Q741" i="4"/>
  <c r="T741" i="4" s="1"/>
  <c r="L742" i="4"/>
  <c r="O742" i="4" s="1"/>
  <c r="Q742" i="4"/>
  <c r="T742" i="4" s="1"/>
  <c r="L743" i="4"/>
  <c r="O743" i="4" s="1"/>
  <c r="Q743" i="4"/>
  <c r="T743" i="4" s="1"/>
  <c r="L744" i="4"/>
  <c r="O744" i="4" s="1"/>
  <c r="Q744" i="4"/>
  <c r="T744" i="4" s="1"/>
  <c r="L745" i="4"/>
  <c r="O745" i="4" s="1"/>
  <c r="Q745" i="4"/>
  <c r="T745" i="4" s="1"/>
  <c r="L746" i="4"/>
  <c r="O746" i="4" s="1"/>
  <c r="Q746" i="4"/>
  <c r="T746" i="4" s="1"/>
  <c r="L747" i="4"/>
  <c r="O747" i="4" s="1"/>
  <c r="Q747" i="4"/>
  <c r="T747" i="4" s="1"/>
  <c r="L748" i="4"/>
  <c r="O748" i="4" s="1"/>
  <c r="Q748" i="4"/>
  <c r="T748" i="4" s="1"/>
  <c r="L749" i="4"/>
  <c r="O749" i="4" s="1"/>
  <c r="Q749" i="4"/>
  <c r="T749" i="4" s="1"/>
  <c r="L750" i="4"/>
  <c r="O750" i="4" s="1"/>
  <c r="Q750" i="4"/>
  <c r="T750" i="4" s="1"/>
  <c r="L751" i="4"/>
  <c r="O751" i="4" s="1"/>
  <c r="Q751" i="4"/>
  <c r="T751" i="4" s="1"/>
  <c r="L752" i="4"/>
  <c r="O752" i="4" s="1"/>
  <c r="Q752" i="4"/>
  <c r="T752" i="4" s="1"/>
  <c r="L753" i="4"/>
  <c r="O753" i="4" s="1"/>
  <c r="Q753" i="4"/>
  <c r="T753" i="4" s="1"/>
  <c r="L754" i="4"/>
  <c r="O754" i="4" s="1"/>
  <c r="Q754" i="4"/>
  <c r="T754" i="4" s="1"/>
  <c r="L755" i="4"/>
  <c r="O755" i="4" s="1"/>
  <c r="Q755" i="4"/>
  <c r="T755" i="4" s="1"/>
  <c r="L756" i="4"/>
  <c r="O756" i="4" s="1"/>
  <c r="Q756" i="4"/>
  <c r="T756" i="4" s="1"/>
  <c r="L757" i="4"/>
  <c r="O757" i="4" s="1"/>
  <c r="Q757" i="4"/>
  <c r="T757" i="4" s="1"/>
  <c r="L758" i="4"/>
  <c r="O758" i="4" s="1"/>
  <c r="Q758" i="4"/>
  <c r="T758" i="4" s="1"/>
  <c r="L759" i="4"/>
  <c r="O759" i="4" s="1"/>
  <c r="Q759" i="4"/>
  <c r="T759" i="4" s="1"/>
  <c r="L760" i="4"/>
  <c r="O760" i="4" s="1"/>
  <c r="Q760" i="4"/>
  <c r="T760" i="4" s="1"/>
  <c r="L761" i="4"/>
  <c r="O761" i="4" s="1"/>
  <c r="Q761" i="4"/>
  <c r="T761" i="4" s="1"/>
  <c r="L762" i="4"/>
  <c r="O762" i="4" s="1"/>
  <c r="Q762" i="4"/>
  <c r="T762" i="4" s="1"/>
  <c r="L763" i="4"/>
  <c r="O763" i="4" s="1"/>
  <c r="Q763" i="4"/>
  <c r="T763" i="4" s="1"/>
  <c r="L764" i="4"/>
  <c r="O764" i="4" s="1"/>
  <c r="Q764" i="4"/>
  <c r="T764" i="4" s="1"/>
  <c r="L765" i="4"/>
  <c r="O765" i="4" s="1"/>
  <c r="Q765" i="4"/>
  <c r="T765" i="4" s="1"/>
  <c r="L766" i="4"/>
  <c r="O766" i="4" s="1"/>
  <c r="Q766" i="4"/>
  <c r="T766" i="4" s="1"/>
  <c r="L767" i="4"/>
  <c r="O767" i="4" s="1"/>
  <c r="Q767" i="4"/>
  <c r="T767" i="4" s="1"/>
  <c r="L768" i="4"/>
  <c r="O768" i="4" s="1"/>
  <c r="Q768" i="4"/>
  <c r="T768" i="4" s="1"/>
  <c r="L769" i="4"/>
  <c r="O769" i="4" s="1"/>
  <c r="Q769" i="4"/>
  <c r="T769" i="4" s="1"/>
  <c r="L770" i="4"/>
  <c r="O770" i="4" s="1"/>
  <c r="Q770" i="4"/>
  <c r="T770" i="4" s="1"/>
  <c r="L771" i="4"/>
  <c r="O771" i="4" s="1"/>
  <c r="Q771" i="4"/>
  <c r="T771" i="4" s="1"/>
  <c r="L772" i="4"/>
  <c r="O772" i="4" s="1"/>
  <c r="Q772" i="4"/>
  <c r="T772" i="4" s="1"/>
  <c r="L773" i="4"/>
  <c r="O773" i="4" s="1"/>
  <c r="Q773" i="4"/>
  <c r="T773" i="4" s="1"/>
  <c r="L774" i="4"/>
  <c r="O774" i="4" s="1"/>
  <c r="Q774" i="4"/>
  <c r="T774" i="4" s="1"/>
  <c r="L775" i="4"/>
  <c r="O775" i="4" s="1"/>
  <c r="Q775" i="4"/>
  <c r="T775" i="4" s="1"/>
  <c r="L776" i="4"/>
  <c r="O776" i="4" s="1"/>
  <c r="Q776" i="4"/>
  <c r="T776" i="4" s="1"/>
  <c r="L777" i="4"/>
  <c r="O777" i="4" s="1"/>
  <c r="Q777" i="4"/>
  <c r="T777" i="4" s="1"/>
  <c r="L778" i="4"/>
  <c r="O778" i="4" s="1"/>
  <c r="Q778" i="4"/>
  <c r="T778" i="4" s="1"/>
  <c r="L779" i="4"/>
  <c r="O779" i="4" s="1"/>
  <c r="Q779" i="4"/>
  <c r="T779" i="4" s="1"/>
  <c r="L780" i="4"/>
  <c r="O780" i="4" s="1"/>
  <c r="Q780" i="4"/>
  <c r="T780" i="4" s="1"/>
  <c r="L781" i="4"/>
  <c r="O781" i="4" s="1"/>
  <c r="Q781" i="4"/>
  <c r="T781" i="4" s="1"/>
  <c r="L782" i="4"/>
  <c r="O782" i="4" s="1"/>
  <c r="Q782" i="4"/>
  <c r="T782" i="4" s="1"/>
  <c r="L783" i="4"/>
  <c r="O783" i="4" s="1"/>
  <c r="Q783" i="4"/>
  <c r="T783" i="4" s="1"/>
  <c r="L784" i="4"/>
  <c r="O784" i="4" s="1"/>
  <c r="Q784" i="4"/>
  <c r="T784" i="4" s="1"/>
  <c r="L785" i="4"/>
  <c r="O785" i="4" s="1"/>
  <c r="Q785" i="4"/>
  <c r="T785" i="4" s="1"/>
  <c r="L786" i="4"/>
  <c r="O786" i="4" s="1"/>
  <c r="Q786" i="4"/>
  <c r="T786" i="4" s="1"/>
  <c r="L787" i="4"/>
  <c r="O787" i="4" s="1"/>
  <c r="Q787" i="4"/>
  <c r="T787" i="4" s="1"/>
  <c r="L788" i="4"/>
  <c r="O788" i="4" s="1"/>
  <c r="Q788" i="4"/>
  <c r="T788" i="4" s="1"/>
  <c r="L789" i="4"/>
  <c r="O789" i="4" s="1"/>
  <c r="Q789" i="4"/>
  <c r="T789" i="4" s="1"/>
  <c r="L790" i="4"/>
  <c r="O790" i="4" s="1"/>
  <c r="Q790" i="4"/>
  <c r="T790" i="4" s="1"/>
  <c r="L791" i="4"/>
  <c r="O791" i="4" s="1"/>
  <c r="Q791" i="4"/>
  <c r="T791" i="4" s="1"/>
  <c r="L792" i="4"/>
  <c r="O792" i="4" s="1"/>
  <c r="Q792" i="4"/>
  <c r="T792" i="4" s="1"/>
  <c r="L793" i="4"/>
  <c r="O793" i="4" s="1"/>
  <c r="Q793" i="4"/>
  <c r="T793" i="4" s="1"/>
  <c r="L794" i="4"/>
  <c r="O794" i="4" s="1"/>
  <c r="Q794" i="4"/>
  <c r="T794" i="4" s="1"/>
  <c r="L795" i="4"/>
  <c r="O795" i="4" s="1"/>
  <c r="Q795" i="4"/>
  <c r="T795" i="4" s="1"/>
  <c r="L796" i="4"/>
  <c r="O796" i="4" s="1"/>
  <c r="Q796" i="4"/>
  <c r="T796" i="4" s="1"/>
  <c r="L797" i="4"/>
  <c r="O797" i="4" s="1"/>
  <c r="Q797" i="4"/>
  <c r="T797" i="4" s="1"/>
  <c r="L798" i="4"/>
  <c r="O798" i="4" s="1"/>
  <c r="Q798" i="4"/>
  <c r="T798" i="4" s="1"/>
  <c r="L799" i="4"/>
  <c r="O799" i="4" s="1"/>
  <c r="Q799" i="4"/>
  <c r="T799" i="4" s="1"/>
  <c r="L800" i="4"/>
  <c r="O800" i="4" s="1"/>
  <c r="Q800" i="4"/>
  <c r="T800" i="4" s="1"/>
  <c r="L801" i="4"/>
  <c r="O801" i="4" s="1"/>
  <c r="Q801" i="4"/>
  <c r="T801" i="4" s="1"/>
  <c r="L802" i="4"/>
  <c r="O802" i="4" s="1"/>
  <c r="Q802" i="4"/>
  <c r="T802" i="4" s="1"/>
  <c r="L803" i="4"/>
  <c r="O803" i="4" s="1"/>
  <c r="Q803" i="4"/>
  <c r="T803" i="4" s="1"/>
  <c r="L804" i="4"/>
  <c r="O804" i="4" s="1"/>
  <c r="Q804" i="4"/>
  <c r="T804" i="4" s="1"/>
  <c r="L805" i="4"/>
  <c r="O805" i="4" s="1"/>
  <c r="Q805" i="4"/>
  <c r="T805" i="4" s="1"/>
  <c r="L806" i="4"/>
  <c r="O806" i="4" s="1"/>
  <c r="Q806" i="4"/>
  <c r="T806" i="4" s="1"/>
  <c r="L807" i="4"/>
  <c r="O807" i="4" s="1"/>
  <c r="Q807" i="4"/>
  <c r="T807" i="4" s="1"/>
  <c r="L808" i="4"/>
  <c r="O808" i="4" s="1"/>
  <c r="Q808" i="4"/>
  <c r="T808" i="4" s="1"/>
  <c r="L809" i="4"/>
  <c r="O809" i="4" s="1"/>
  <c r="Q809" i="4"/>
  <c r="T809" i="4" s="1"/>
  <c r="L810" i="4"/>
  <c r="O810" i="4" s="1"/>
  <c r="Q810" i="4"/>
  <c r="T810" i="4" s="1"/>
  <c r="L811" i="4"/>
  <c r="O811" i="4" s="1"/>
  <c r="Q811" i="4"/>
  <c r="T811" i="4" s="1"/>
  <c r="L812" i="4"/>
  <c r="O812" i="4" s="1"/>
  <c r="Q812" i="4"/>
  <c r="T812" i="4" s="1"/>
  <c r="L813" i="4"/>
  <c r="O813" i="4" s="1"/>
  <c r="Q813" i="4"/>
  <c r="T813" i="4" s="1"/>
  <c r="L814" i="4"/>
  <c r="O814" i="4" s="1"/>
  <c r="Q814" i="4"/>
  <c r="T814" i="4" s="1"/>
  <c r="L815" i="4"/>
  <c r="O815" i="4" s="1"/>
  <c r="Q815" i="4"/>
  <c r="T815" i="4" s="1"/>
  <c r="L816" i="4"/>
  <c r="O816" i="4" s="1"/>
  <c r="Q816" i="4"/>
  <c r="T816" i="4" s="1"/>
  <c r="L817" i="4"/>
  <c r="O817" i="4" s="1"/>
  <c r="Q817" i="4"/>
  <c r="T817" i="4" s="1"/>
  <c r="L818" i="4"/>
  <c r="O818" i="4" s="1"/>
  <c r="Q818" i="4"/>
  <c r="T818" i="4" s="1"/>
  <c r="L819" i="4"/>
  <c r="O819" i="4" s="1"/>
  <c r="Q819" i="4"/>
  <c r="T819" i="4" s="1"/>
  <c r="L820" i="4"/>
  <c r="O820" i="4" s="1"/>
  <c r="Q820" i="4"/>
  <c r="T820" i="4" s="1"/>
  <c r="L821" i="4"/>
  <c r="O821" i="4" s="1"/>
  <c r="Q821" i="4"/>
  <c r="T821" i="4" s="1"/>
  <c r="L822" i="4"/>
  <c r="O822" i="4" s="1"/>
  <c r="Q822" i="4"/>
  <c r="T822" i="4" s="1"/>
  <c r="L823" i="4"/>
  <c r="O823" i="4" s="1"/>
  <c r="Q823" i="4"/>
  <c r="T823" i="4" s="1"/>
  <c r="L824" i="4"/>
  <c r="O824" i="4" s="1"/>
  <c r="Q824" i="4"/>
  <c r="T824" i="4" s="1"/>
  <c r="L825" i="4"/>
  <c r="O825" i="4" s="1"/>
  <c r="Q825" i="4"/>
  <c r="T825" i="4" s="1"/>
  <c r="L826" i="4"/>
  <c r="O826" i="4" s="1"/>
  <c r="Q826" i="4"/>
  <c r="T826" i="4" s="1"/>
  <c r="L827" i="4"/>
  <c r="O827" i="4" s="1"/>
  <c r="Q827" i="4"/>
  <c r="T827" i="4" s="1"/>
  <c r="L828" i="4"/>
  <c r="O828" i="4" s="1"/>
  <c r="Q828" i="4"/>
  <c r="T828" i="4" s="1"/>
  <c r="L829" i="4"/>
  <c r="O829" i="4" s="1"/>
  <c r="Q829" i="4"/>
  <c r="T829" i="4" s="1"/>
  <c r="L830" i="4"/>
  <c r="O830" i="4" s="1"/>
  <c r="Q830" i="4"/>
  <c r="T830" i="4" s="1"/>
  <c r="L831" i="4"/>
  <c r="O831" i="4" s="1"/>
  <c r="Q831" i="4"/>
  <c r="T831" i="4" s="1"/>
  <c r="L832" i="4"/>
  <c r="O832" i="4" s="1"/>
  <c r="Q832" i="4"/>
  <c r="T832" i="4" s="1"/>
  <c r="L833" i="4"/>
  <c r="O833" i="4" s="1"/>
  <c r="Q833" i="4"/>
  <c r="T833" i="4" s="1"/>
  <c r="L834" i="4"/>
  <c r="O834" i="4" s="1"/>
  <c r="Q834" i="4"/>
  <c r="T834" i="4" s="1"/>
  <c r="L835" i="4"/>
  <c r="O835" i="4" s="1"/>
  <c r="Q835" i="4"/>
  <c r="T835" i="4" s="1"/>
  <c r="L836" i="4"/>
  <c r="O836" i="4" s="1"/>
  <c r="Q836" i="4"/>
  <c r="T836" i="4" s="1"/>
  <c r="L837" i="4"/>
  <c r="O837" i="4" s="1"/>
  <c r="Q837" i="4"/>
  <c r="T837" i="4" s="1"/>
  <c r="L838" i="4"/>
  <c r="O838" i="4" s="1"/>
  <c r="Q838" i="4"/>
  <c r="T838" i="4" s="1"/>
  <c r="L839" i="4"/>
  <c r="O839" i="4" s="1"/>
  <c r="Q839" i="4"/>
  <c r="T839" i="4" s="1"/>
  <c r="L840" i="4"/>
  <c r="O840" i="4" s="1"/>
  <c r="Q840" i="4"/>
  <c r="T840" i="4" s="1"/>
  <c r="L841" i="4"/>
  <c r="O841" i="4" s="1"/>
  <c r="Q841" i="4"/>
  <c r="T841" i="4" s="1"/>
  <c r="L842" i="4"/>
  <c r="O842" i="4" s="1"/>
  <c r="Q842" i="4"/>
  <c r="T842" i="4" s="1"/>
  <c r="L843" i="4"/>
  <c r="O843" i="4" s="1"/>
  <c r="Q843" i="4"/>
  <c r="T843" i="4" s="1"/>
  <c r="L844" i="4"/>
  <c r="O844" i="4" s="1"/>
  <c r="Q844" i="4"/>
  <c r="T844" i="4" s="1"/>
  <c r="L845" i="4"/>
  <c r="O845" i="4" s="1"/>
  <c r="Q845" i="4"/>
  <c r="T845" i="4" s="1"/>
  <c r="L846" i="4"/>
  <c r="O846" i="4" s="1"/>
  <c r="Q846" i="4"/>
  <c r="T846" i="4" s="1"/>
  <c r="L847" i="4"/>
  <c r="O847" i="4" s="1"/>
  <c r="Q847" i="4"/>
  <c r="T847" i="4" s="1"/>
  <c r="L848" i="4"/>
  <c r="O848" i="4" s="1"/>
  <c r="Q848" i="4"/>
  <c r="T848" i="4" s="1"/>
  <c r="L849" i="4"/>
  <c r="O849" i="4" s="1"/>
  <c r="Q849" i="4"/>
  <c r="T849" i="4" s="1"/>
  <c r="L850" i="4"/>
  <c r="O850" i="4" s="1"/>
  <c r="Q850" i="4"/>
  <c r="T850" i="4" s="1"/>
  <c r="L851" i="4"/>
  <c r="O851" i="4" s="1"/>
  <c r="Q851" i="4"/>
  <c r="T851" i="4" s="1"/>
  <c r="L852" i="4"/>
  <c r="O852" i="4" s="1"/>
  <c r="Q852" i="4"/>
  <c r="T852" i="4" s="1"/>
  <c r="L853" i="4"/>
  <c r="O853" i="4" s="1"/>
  <c r="Q853" i="4"/>
  <c r="T853" i="4" s="1"/>
  <c r="L854" i="4"/>
  <c r="O854" i="4" s="1"/>
  <c r="Q854" i="4"/>
  <c r="T854" i="4" s="1"/>
  <c r="L855" i="4"/>
  <c r="O855" i="4" s="1"/>
  <c r="Q855" i="4"/>
  <c r="T855" i="4" s="1"/>
  <c r="L856" i="4"/>
  <c r="O856" i="4" s="1"/>
  <c r="Q856" i="4"/>
  <c r="T856" i="4" s="1"/>
  <c r="L857" i="4"/>
  <c r="O857" i="4" s="1"/>
  <c r="Q857" i="4"/>
  <c r="T857" i="4" s="1"/>
  <c r="L858" i="4"/>
  <c r="O858" i="4" s="1"/>
  <c r="Q858" i="4"/>
  <c r="T858" i="4" s="1"/>
  <c r="L859" i="4"/>
  <c r="O859" i="4" s="1"/>
  <c r="Q859" i="4"/>
  <c r="T859" i="4" s="1"/>
  <c r="L860" i="4"/>
  <c r="O860" i="4" s="1"/>
  <c r="Q860" i="4"/>
  <c r="T860" i="4" s="1"/>
  <c r="L861" i="4"/>
  <c r="O861" i="4" s="1"/>
  <c r="Q861" i="4"/>
  <c r="T861" i="4" s="1"/>
  <c r="L862" i="4"/>
  <c r="O862" i="4" s="1"/>
  <c r="Q862" i="4"/>
  <c r="T862" i="4" s="1"/>
  <c r="L863" i="4"/>
  <c r="O863" i="4" s="1"/>
  <c r="Q863" i="4"/>
  <c r="T863" i="4" s="1"/>
  <c r="L864" i="4"/>
  <c r="O864" i="4" s="1"/>
  <c r="Q864" i="4"/>
  <c r="T864" i="4" s="1"/>
  <c r="L865" i="4"/>
  <c r="O865" i="4" s="1"/>
  <c r="Q865" i="4"/>
  <c r="T865" i="4" s="1"/>
  <c r="L866" i="4"/>
  <c r="O866" i="4" s="1"/>
  <c r="Q866" i="4"/>
  <c r="T866" i="4" s="1"/>
  <c r="L867" i="4"/>
  <c r="O867" i="4" s="1"/>
  <c r="Q867" i="4"/>
  <c r="T867" i="4" s="1"/>
  <c r="L868" i="4"/>
  <c r="O868" i="4" s="1"/>
  <c r="Q868" i="4"/>
  <c r="T868" i="4" s="1"/>
  <c r="L869" i="4"/>
  <c r="O869" i="4" s="1"/>
  <c r="Q869" i="4"/>
  <c r="T869" i="4" s="1"/>
  <c r="L870" i="4"/>
  <c r="O870" i="4" s="1"/>
  <c r="Q870" i="4"/>
  <c r="T870" i="4" s="1"/>
  <c r="L871" i="4"/>
  <c r="O871" i="4" s="1"/>
  <c r="Q871" i="4"/>
  <c r="T871" i="4" s="1"/>
  <c r="L872" i="4"/>
  <c r="O872" i="4" s="1"/>
  <c r="Q872" i="4"/>
  <c r="T872" i="4" s="1"/>
  <c r="L873" i="4"/>
  <c r="O873" i="4" s="1"/>
  <c r="Q873" i="4"/>
  <c r="T873" i="4" s="1"/>
  <c r="L874" i="4"/>
  <c r="O874" i="4" s="1"/>
  <c r="Q874" i="4"/>
  <c r="T874" i="4" s="1"/>
  <c r="L875" i="4"/>
  <c r="O875" i="4" s="1"/>
  <c r="Q875" i="4"/>
  <c r="T875" i="4" s="1"/>
  <c r="L876" i="4"/>
  <c r="O876" i="4" s="1"/>
  <c r="Q876" i="4"/>
  <c r="T876" i="4" s="1"/>
  <c r="L877" i="4"/>
  <c r="O877" i="4" s="1"/>
  <c r="Q877" i="4"/>
  <c r="T877" i="4" s="1"/>
  <c r="L878" i="4"/>
  <c r="O878" i="4" s="1"/>
  <c r="Q878" i="4"/>
  <c r="T878" i="4" s="1"/>
  <c r="L879" i="4"/>
  <c r="O879" i="4" s="1"/>
  <c r="Q879" i="4"/>
  <c r="T879" i="4" s="1"/>
  <c r="L880" i="4"/>
  <c r="O880" i="4" s="1"/>
  <c r="Q880" i="4"/>
  <c r="T880" i="4" s="1"/>
  <c r="L881" i="4"/>
  <c r="O881" i="4" s="1"/>
  <c r="Q881" i="4"/>
  <c r="T881" i="4" s="1"/>
  <c r="L882" i="4"/>
  <c r="O882" i="4" s="1"/>
  <c r="Q882" i="4"/>
  <c r="T882" i="4" s="1"/>
  <c r="L883" i="4"/>
  <c r="O883" i="4" s="1"/>
  <c r="Q883" i="4"/>
  <c r="T883" i="4" s="1"/>
  <c r="L884" i="4"/>
  <c r="O884" i="4" s="1"/>
  <c r="Q884" i="4"/>
  <c r="T884" i="4" s="1"/>
  <c r="L885" i="4"/>
  <c r="O885" i="4" s="1"/>
  <c r="Q885" i="4"/>
  <c r="T885" i="4" s="1"/>
  <c r="L886" i="4"/>
  <c r="O886" i="4" s="1"/>
  <c r="Q886" i="4"/>
  <c r="T886" i="4" s="1"/>
  <c r="L887" i="4"/>
  <c r="O887" i="4" s="1"/>
  <c r="Q887" i="4"/>
  <c r="T887" i="4" s="1"/>
  <c r="L888" i="4"/>
  <c r="O888" i="4" s="1"/>
  <c r="Q888" i="4"/>
  <c r="T888" i="4" s="1"/>
  <c r="L889" i="4"/>
  <c r="O889" i="4" s="1"/>
  <c r="Q889" i="4"/>
  <c r="T889" i="4" s="1"/>
  <c r="L890" i="4"/>
  <c r="O890" i="4" s="1"/>
  <c r="Q890" i="4"/>
  <c r="T890" i="4" s="1"/>
  <c r="L891" i="4"/>
  <c r="O891" i="4" s="1"/>
  <c r="Q891" i="4"/>
  <c r="T891" i="4" s="1"/>
  <c r="L892" i="4"/>
  <c r="O892" i="4" s="1"/>
  <c r="Q892" i="4"/>
  <c r="T892" i="4" s="1"/>
  <c r="L893" i="4"/>
  <c r="O893" i="4" s="1"/>
  <c r="Q893" i="4"/>
  <c r="T893" i="4" s="1"/>
  <c r="L894" i="4"/>
  <c r="O894" i="4" s="1"/>
  <c r="Q894" i="4"/>
  <c r="T894" i="4" s="1"/>
  <c r="L895" i="4"/>
  <c r="O895" i="4" s="1"/>
  <c r="Q895" i="4"/>
  <c r="T895" i="4" s="1"/>
  <c r="L896" i="4"/>
  <c r="O896" i="4" s="1"/>
  <c r="Q896" i="4"/>
  <c r="T896" i="4" s="1"/>
  <c r="L897" i="4"/>
  <c r="O897" i="4" s="1"/>
  <c r="Q897" i="4"/>
  <c r="T897" i="4" s="1"/>
  <c r="L898" i="4"/>
  <c r="O898" i="4" s="1"/>
  <c r="Q898" i="4"/>
  <c r="T898" i="4" s="1"/>
  <c r="L899" i="4"/>
  <c r="O899" i="4" s="1"/>
  <c r="Q899" i="4"/>
  <c r="T899" i="4" s="1"/>
  <c r="L900" i="4"/>
  <c r="O900" i="4" s="1"/>
  <c r="Q900" i="4"/>
  <c r="T900" i="4" s="1"/>
  <c r="L901" i="4"/>
  <c r="O901" i="4" s="1"/>
  <c r="Q901" i="4"/>
  <c r="T901" i="4" s="1"/>
  <c r="L902" i="4"/>
  <c r="O902" i="4" s="1"/>
  <c r="Q902" i="4"/>
  <c r="T902" i="4" s="1"/>
  <c r="L903" i="4"/>
  <c r="O903" i="4" s="1"/>
  <c r="Q903" i="4"/>
  <c r="T903" i="4" s="1"/>
  <c r="L904" i="4"/>
  <c r="O904" i="4" s="1"/>
  <c r="Q904" i="4"/>
  <c r="T904" i="4" s="1"/>
  <c r="L905" i="4"/>
  <c r="O905" i="4" s="1"/>
  <c r="Q905" i="4"/>
  <c r="T905" i="4" s="1"/>
  <c r="L906" i="4"/>
  <c r="O906" i="4" s="1"/>
  <c r="Q906" i="4"/>
  <c r="T906" i="4" s="1"/>
  <c r="L907" i="4"/>
  <c r="O907" i="4" s="1"/>
  <c r="Q907" i="4"/>
  <c r="T907" i="4" s="1"/>
  <c r="L908" i="4"/>
  <c r="O908" i="4" s="1"/>
  <c r="Q908" i="4"/>
  <c r="T908" i="4" s="1"/>
  <c r="L909" i="4"/>
  <c r="O909" i="4" s="1"/>
  <c r="Q909" i="4"/>
  <c r="T909" i="4" s="1"/>
  <c r="L910" i="4"/>
  <c r="O910" i="4" s="1"/>
  <c r="Q910" i="4"/>
  <c r="T910" i="4" s="1"/>
  <c r="L911" i="4"/>
  <c r="O911" i="4" s="1"/>
  <c r="Q911" i="4"/>
  <c r="T911" i="4" s="1"/>
  <c r="L912" i="4"/>
  <c r="O912" i="4" s="1"/>
  <c r="Q912" i="4"/>
  <c r="T912" i="4" s="1"/>
  <c r="L913" i="4"/>
  <c r="O913" i="4" s="1"/>
  <c r="Q913" i="4"/>
  <c r="T913" i="4" s="1"/>
  <c r="L914" i="4"/>
  <c r="O914" i="4" s="1"/>
  <c r="Q914" i="4"/>
  <c r="T914" i="4" s="1"/>
  <c r="L915" i="4"/>
  <c r="O915" i="4" s="1"/>
  <c r="Q915" i="4"/>
  <c r="T915" i="4" s="1"/>
  <c r="L916" i="4"/>
  <c r="O916" i="4" s="1"/>
  <c r="Q916" i="4"/>
  <c r="T916" i="4" s="1"/>
  <c r="L917" i="4"/>
  <c r="O917" i="4" s="1"/>
  <c r="Q917" i="4"/>
  <c r="T917" i="4" s="1"/>
  <c r="L918" i="4"/>
  <c r="O918" i="4" s="1"/>
  <c r="Q918" i="4"/>
  <c r="T918" i="4" s="1"/>
  <c r="L919" i="4"/>
  <c r="O919" i="4" s="1"/>
  <c r="Q919" i="4"/>
  <c r="T919" i="4" s="1"/>
  <c r="L920" i="4"/>
  <c r="O920" i="4" s="1"/>
  <c r="Q920" i="4"/>
  <c r="T920" i="4" s="1"/>
  <c r="L921" i="4"/>
  <c r="O921" i="4" s="1"/>
  <c r="Q921" i="4"/>
  <c r="T921" i="4" s="1"/>
  <c r="L922" i="4"/>
  <c r="O922" i="4" s="1"/>
  <c r="Q922" i="4"/>
  <c r="T922" i="4" s="1"/>
  <c r="L923" i="4"/>
  <c r="O923" i="4" s="1"/>
  <c r="Q923" i="4"/>
  <c r="T923" i="4" s="1"/>
  <c r="L924" i="4"/>
  <c r="O924" i="4" s="1"/>
  <c r="Q924" i="4"/>
  <c r="T924" i="4" s="1"/>
  <c r="L925" i="4"/>
  <c r="O925" i="4" s="1"/>
  <c r="Q925" i="4"/>
  <c r="T925" i="4" s="1"/>
  <c r="L926" i="4"/>
  <c r="O926" i="4" s="1"/>
  <c r="Q926" i="4"/>
  <c r="T926" i="4" s="1"/>
  <c r="L927" i="4"/>
  <c r="O927" i="4" s="1"/>
  <c r="Q927" i="4"/>
  <c r="T927" i="4" s="1"/>
  <c r="L928" i="4"/>
  <c r="O928" i="4" s="1"/>
  <c r="Q928" i="4"/>
  <c r="T928" i="4" s="1"/>
  <c r="L929" i="4"/>
  <c r="O929" i="4" s="1"/>
  <c r="Q929" i="4"/>
  <c r="T929" i="4" s="1"/>
  <c r="L930" i="4"/>
  <c r="O930" i="4" s="1"/>
  <c r="Q930" i="4"/>
  <c r="T930" i="4" s="1"/>
  <c r="L931" i="4"/>
  <c r="O931" i="4" s="1"/>
  <c r="Q931" i="4"/>
  <c r="T931" i="4" s="1"/>
  <c r="L932" i="4"/>
  <c r="O932" i="4" s="1"/>
  <c r="Q932" i="4"/>
  <c r="T932" i="4" s="1"/>
  <c r="L933" i="4"/>
  <c r="O933" i="4" s="1"/>
  <c r="Q933" i="4"/>
  <c r="T933" i="4" s="1"/>
  <c r="L934" i="4"/>
  <c r="O934" i="4" s="1"/>
  <c r="Q934" i="4"/>
  <c r="T934" i="4" s="1"/>
  <c r="L935" i="4"/>
  <c r="O935" i="4" s="1"/>
  <c r="Q935" i="4"/>
  <c r="T935" i="4" s="1"/>
  <c r="L936" i="4"/>
  <c r="O936" i="4" s="1"/>
  <c r="Q936" i="4"/>
  <c r="T936" i="4" s="1"/>
  <c r="L937" i="4"/>
  <c r="O937" i="4" s="1"/>
  <c r="Q937" i="4"/>
  <c r="T937" i="4" s="1"/>
  <c r="L938" i="4"/>
  <c r="O938" i="4" s="1"/>
  <c r="Q938" i="4"/>
  <c r="T938" i="4" s="1"/>
  <c r="L939" i="4"/>
  <c r="O939" i="4" s="1"/>
  <c r="Q939" i="4"/>
  <c r="T939" i="4" s="1"/>
  <c r="L940" i="4"/>
  <c r="O940" i="4" s="1"/>
  <c r="Q940" i="4"/>
  <c r="T940" i="4" s="1"/>
  <c r="L941" i="4"/>
  <c r="O941" i="4" s="1"/>
  <c r="Q941" i="4"/>
  <c r="T941" i="4" s="1"/>
  <c r="L942" i="4"/>
  <c r="O942" i="4" s="1"/>
  <c r="Q942" i="4"/>
  <c r="T942" i="4" s="1"/>
  <c r="L943" i="4"/>
  <c r="O943" i="4" s="1"/>
  <c r="Q943" i="4"/>
  <c r="T943" i="4" s="1"/>
  <c r="L944" i="4"/>
  <c r="O944" i="4" s="1"/>
  <c r="Q944" i="4"/>
  <c r="T944" i="4" s="1"/>
  <c r="L945" i="4"/>
  <c r="O945" i="4" s="1"/>
  <c r="Q945" i="4"/>
  <c r="T945" i="4" s="1"/>
  <c r="L946" i="4"/>
  <c r="O946" i="4" s="1"/>
  <c r="Q946" i="4"/>
  <c r="T946" i="4" s="1"/>
  <c r="L947" i="4"/>
  <c r="O947" i="4" s="1"/>
  <c r="Q947" i="4"/>
  <c r="T947" i="4" s="1"/>
  <c r="L948" i="4"/>
  <c r="O948" i="4" s="1"/>
  <c r="Q948" i="4"/>
  <c r="T948" i="4" s="1"/>
  <c r="L949" i="4"/>
  <c r="O949" i="4" s="1"/>
  <c r="Q949" i="4"/>
  <c r="T949" i="4" s="1"/>
  <c r="L950" i="4"/>
  <c r="O950" i="4" s="1"/>
  <c r="Q950" i="4"/>
  <c r="T950" i="4" s="1"/>
  <c r="L951" i="4"/>
  <c r="O951" i="4" s="1"/>
  <c r="Q951" i="4"/>
  <c r="T951" i="4" s="1"/>
  <c r="L952" i="4"/>
  <c r="O952" i="4" s="1"/>
  <c r="Q952" i="4"/>
  <c r="T952" i="4" s="1"/>
  <c r="L953" i="4"/>
  <c r="O953" i="4" s="1"/>
  <c r="Q953" i="4"/>
  <c r="T953" i="4" s="1"/>
  <c r="L954" i="4"/>
  <c r="O954" i="4" s="1"/>
  <c r="Q954" i="4"/>
  <c r="T954" i="4" s="1"/>
  <c r="L955" i="4"/>
  <c r="O955" i="4" s="1"/>
  <c r="Q955" i="4"/>
  <c r="T955" i="4" s="1"/>
  <c r="L956" i="4"/>
  <c r="O956" i="4" s="1"/>
  <c r="Q956" i="4"/>
  <c r="T956" i="4" s="1"/>
  <c r="L957" i="4"/>
  <c r="O957" i="4" s="1"/>
  <c r="Q957" i="4"/>
  <c r="T957" i="4" s="1"/>
  <c r="L958" i="4"/>
  <c r="O958" i="4" s="1"/>
  <c r="Q958" i="4"/>
  <c r="T958" i="4" s="1"/>
  <c r="L959" i="4"/>
  <c r="O959" i="4" s="1"/>
  <c r="Q959" i="4"/>
  <c r="T959" i="4" s="1"/>
  <c r="L960" i="4"/>
  <c r="O960" i="4" s="1"/>
  <c r="Q960" i="4"/>
  <c r="T960" i="4" s="1"/>
  <c r="L961" i="4"/>
  <c r="O961" i="4" s="1"/>
  <c r="Q961" i="4"/>
  <c r="T961" i="4" s="1"/>
  <c r="L962" i="4"/>
  <c r="O962" i="4" s="1"/>
  <c r="Q962" i="4"/>
  <c r="T962" i="4" s="1"/>
  <c r="L963" i="4"/>
  <c r="O963" i="4" s="1"/>
  <c r="Q963" i="4"/>
  <c r="T963" i="4" s="1"/>
  <c r="L964" i="4"/>
  <c r="O964" i="4" s="1"/>
  <c r="Q964" i="4"/>
  <c r="T964" i="4" s="1"/>
  <c r="L965" i="4"/>
  <c r="O965" i="4" s="1"/>
  <c r="Q965" i="4"/>
  <c r="T965" i="4" s="1"/>
  <c r="L966" i="4"/>
  <c r="O966" i="4" s="1"/>
  <c r="Q966" i="4"/>
  <c r="T966" i="4" s="1"/>
  <c r="L967" i="4"/>
  <c r="O967" i="4" s="1"/>
  <c r="Q967" i="4"/>
  <c r="T967" i="4" s="1"/>
  <c r="L968" i="4"/>
  <c r="O968" i="4" s="1"/>
  <c r="Q968" i="4"/>
  <c r="T968" i="4" s="1"/>
  <c r="L969" i="4"/>
  <c r="O969" i="4" s="1"/>
  <c r="Q969" i="4"/>
  <c r="T969" i="4" s="1"/>
  <c r="L970" i="4"/>
  <c r="O970" i="4" s="1"/>
  <c r="Q970" i="4"/>
  <c r="T970" i="4" s="1"/>
  <c r="L971" i="4"/>
  <c r="O971" i="4" s="1"/>
  <c r="Q971" i="4"/>
  <c r="T971" i="4" s="1"/>
  <c r="L972" i="4"/>
  <c r="O972" i="4" s="1"/>
  <c r="Q972" i="4"/>
  <c r="T972" i="4" s="1"/>
  <c r="L973" i="4"/>
  <c r="O973" i="4" s="1"/>
  <c r="Q973" i="4"/>
  <c r="T973" i="4" s="1"/>
  <c r="L974" i="4"/>
  <c r="O974" i="4" s="1"/>
  <c r="Q974" i="4"/>
  <c r="T974" i="4" s="1"/>
  <c r="L975" i="4"/>
  <c r="O975" i="4" s="1"/>
  <c r="Q975" i="4"/>
  <c r="T975" i="4" s="1"/>
  <c r="L976" i="4"/>
  <c r="O976" i="4" s="1"/>
  <c r="Q976" i="4"/>
  <c r="T976" i="4" s="1"/>
  <c r="L977" i="4"/>
  <c r="O977" i="4" s="1"/>
  <c r="Q977" i="4"/>
  <c r="T977" i="4" s="1"/>
  <c r="L978" i="4"/>
  <c r="O978" i="4" s="1"/>
  <c r="Q978" i="4"/>
  <c r="T978" i="4" s="1"/>
  <c r="L979" i="4"/>
  <c r="O979" i="4" s="1"/>
  <c r="Q979" i="4"/>
  <c r="T979" i="4" s="1"/>
  <c r="L980" i="4"/>
  <c r="O980" i="4" s="1"/>
  <c r="Q980" i="4"/>
  <c r="T980" i="4" s="1"/>
  <c r="L981" i="4"/>
  <c r="O981" i="4" s="1"/>
  <c r="Q981" i="4"/>
  <c r="T981" i="4" s="1"/>
  <c r="L982" i="4"/>
  <c r="O982" i="4" s="1"/>
  <c r="Q982" i="4"/>
  <c r="T982" i="4" s="1"/>
  <c r="L983" i="4"/>
  <c r="O983" i="4" s="1"/>
  <c r="Q983" i="4"/>
  <c r="T983" i="4" s="1"/>
  <c r="L984" i="4"/>
  <c r="O984" i="4" s="1"/>
  <c r="Q984" i="4"/>
  <c r="T984" i="4" s="1"/>
  <c r="L985" i="4"/>
  <c r="O985" i="4" s="1"/>
  <c r="Q985" i="4"/>
  <c r="T985" i="4" s="1"/>
  <c r="L986" i="4"/>
  <c r="O986" i="4" s="1"/>
  <c r="Q986" i="4"/>
  <c r="T986" i="4" s="1"/>
  <c r="L987" i="4"/>
  <c r="O987" i="4" s="1"/>
  <c r="Q987" i="4"/>
  <c r="T987" i="4" s="1"/>
  <c r="L988" i="4"/>
  <c r="O988" i="4" s="1"/>
  <c r="Q988" i="4"/>
  <c r="T988" i="4" s="1"/>
  <c r="L989" i="4"/>
  <c r="O989" i="4" s="1"/>
  <c r="Q989" i="4"/>
  <c r="T989" i="4" s="1"/>
  <c r="L990" i="4"/>
  <c r="O990" i="4" s="1"/>
  <c r="Q990" i="4"/>
  <c r="T990" i="4" s="1"/>
  <c r="L991" i="4"/>
  <c r="O991" i="4" s="1"/>
  <c r="Q991" i="4"/>
  <c r="T991" i="4" s="1"/>
  <c r="L992" i="4"/>
  <c r="O992" i="4" s="1"/>
  <c r="Q992" i="4"/>
  <c r="T992" i="4" s="1"/>
  <c r="L993" i="4"/>
  <c r="O993" i="4" s="1"/>
  <c r="Q993" i="4"/>
  <c r="T993" i="4" s="1"/>
  <c r="L994" i="4"/>
  <c r="O994" i="4" s="1"/>
  <c r="Q994" i="4"/>
  <c r="T994" i="4" s="1"/>
  <c r="L995" i="4"/>
  <c r="O995" i="4" s="1"/>
  <c r="Q995" i="4"/>
  <c r="T995" i="4" s="1"/>
  <c r="L996" i="4"/>
  <c r="O996" i="4" s="1"/>
  <c r="Q996" i="4"/>
  <c r="T996" i="4" s="1"/>
  <c r="L997" i="4"/>
  <c r="O997" i="4" s="1"/>
  <c r="Q997" i="4"/>
  <c r="T997" i="4" s="1"/>
  <c r="L998" i="4"/>
  <c r="O998" i="4" s="1"/>
  <c r="Q998" i="4"/>
  <c r="T998" i="4" s="1"/>
  <c r="L999" i="4"/>
  <c r="O999" i="4" s="1"/>
  <c r="Q999" i="4"/>
  <c r="T999" i="4" s="1"/>
  <c r="L1000" i="4"/>
  <c r="O1000" i="4" s="1"/>
  <c r="Q1000" i="4"/>
  <c r="T1000" i="4" s="1"/>
  <c r="L1001" i="4"/>
  <c r="O1001" i="4" s="1"/>
  <c r="Q1001" i="4"/>
  <c r="T1001" i="4" s="1"/>
  <c r="L1002" i="4"/>
  <c r="O1002" i="4" s="1"/>
  <c r="Q1002" i="4"/>
  <c r="T1002" i="4" s="1"/>
  <c r="L1003" i="4"/>
  <c r="O1003" i="4" s="1"/>
  <c r="Q1003" i="4"/>
  <c r="T1003" i="4" s="1"/>
  <c r="L1004" i="4"/>
  <c r="O1004" i="4" s="1"/>
  <c r="Q1004" i="4"/>
  <c r="T1004" i="4" s="1"/>
  <c r="L1005" i="4"/>
  <c r="O1005" i="4" s="1"/>
  <c r="Q1005" i="4"/>
  <c r="T1005" i="4" s="1"/>
  <c r="L1006" i="4"/>
  <c r="O1006" i="4" s="1"/>
  <c r="Q1006" i="4"/>
  <c r="T1006" i="4" s="1"/>
  <c r="L1007" i="4"/>
  <c r="O1007" i="4" s="1"/>
  <c r="Q1007" i="4"/>
  <c r="T1007" i="4" s="1"/>
  <c r="L1008" i="4"/>
  <c r="O1008" i="4" s="1"/>
  <c r="Q1008" i="4"/>
  <c r="T1008" i="4" s="1"/>
  <c r="L1009" i="4"/>
  <c r="O1009" i="4" s="1"/>
  <c r="Q1009" i="4"/>
  <c r="T1009" i="4" s="1"/>
  <c r="L1010" i="4"/>
  <c r="O1010" i="4" s="1"/>
  <c r="Q1010" i="4"/>
  <c r="T1010" i="4" s="1"/>
  <c r="L1011" i="4"/>
  <c r="O1011" i="4" s="1"/>
  <c r="Q1011" i="4"/>
  <c r="T1011" i="4" s="1"/>
  <c r="L1012" i="4"/>
  <c r="O1012" i="4" s="1"/>
  <c r="Q1012" i="4"/>
  <c r="T1012" i="4" s="1"/>
  <c r="L1013" i="4"/>
  <c r="O1013" i="4" s="1"/>
  <c r="Q1013" i="4"/>
  <c r="T1013" i="4" s="1"/>
  <c r="AB22" i="4"/>
  <c r="L14" i="4"/>
  <c r="O14" i="4" s="1"/>
  <c r="AA22" i="4"/>
  <c r="E1014" i="4"/>
  <c r="C1014" i="4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H253" i="4" s="1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H260" i="4" s="1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 s="1"/>
  <c r="G268" i="4"/>
  <c r="H268" i="4" s="1"/>
  <c r="G269" i="4"/>
  <c r="H269" i="4" s="1"/>
  <c r="G270" i="4"/>
  <c r="H270" i="4" s="1"/>
  <c r="G271" i="4"/>
  <c r="H271" i="4" s="1"/>
  <c r="G272" i="4"/>
  <c r="H272" i="4" s="1"/>
  <c r="G273" i="4"/>
  <c r="H273" i="4" s="1"/>
  <c r="G274" i="4"/>
  <c r="H274" i="4" s="1"/>
  <c r="G275" i="4"/>
  <c r="H275" i="4" s="1"/>
  <c r="G276" i="4"/>
  <c r="H276" i="4" s="1"/>
  <c r="G277" i="4"/>
  <c r="H277" i="4" s="1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G284" i="4"/>
  <c r="H284" i="4" s="1"/>
  <c r="G285" i="4"/>
  <c r="H285" i="4" s="1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H292" i="4" s="1"/>
  <c r="G293" i="4"/>
  <c r="H293" i="4" s="1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H301" i="4" s="1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H309" i="4" s="1"/>
  <c r="G310" i="4"/>
  <c r="H310" i="4" s="1"/>
  <c r="G311" i="4"/>
  <c r="H311" i="4" s="1"/>
  <c r="G312" i="4"/>
  <c r="H312" i="4" s="1"/>
  <c r="G313" i="4"/>
  <c r="H313" i="4" s="1"/>
  <c r="G314" i="4"/>
  <c r="H314" i="4" s="1"/>
  <c r="G315" i="4"/>
  <c r="H315" i="4" s="1"/>
  <c r="G316" i="4"/>
  <c r="H316" i="4" s="1"/>
  <c r="G317" i="4"/>
  <c r="H317" i="4" s="1"/>
  <c r="G318" i="4"/>
  <c r="H318" i="4" s="1"/>
  <c r="G319" i="4"/>
  <c r="H319" i="4" s="1"/>
  <c r="G320" i="4"/>
  <c r="H320" i="4" s="1"/>
  <c r="G321" i="4"/>
  <c r="H321" i="4" s="1"/>
  <c r="G322" i="4"/>
  <c r="H322" i="4" s="1"/>
  <c r="G323" i="4"/>
  <c r="H323" i="4" s="1"/>
  <c r="G324" i="4"/>
  <c r="H324" i="4" s="1"/>
  <c r="G325" i="4"/>
  <c r="H325" i="4" s="1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H333" i="4" s="1"/>
  <c r="G334" i="4"/>
  <c r="H334" i="4" s="1"/>
  <c r="G335" i="4"/>
  <c r="H335" i="4" s="1"/>
  <c r="G336" i="4"/>
  <c r="H336" i="4" s="1"/>
  <c r="G337" i="4"/>
  <c r="H337" i="4" s="1"/>
  <c r="G338" i="4"/>
  <c r="H338" i="4" s="1"/>
  <c r="G339" i="4"/>
  <c r="H339" i="4" s="1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H345" i="4" s="1"/>
  <c r="G346" i="4"/>
  <c r="H346" i="4" s="1"/>
  <c r="G347" i="4"/>
  <c r="H347" i="4" s="1"/>
  <c r="G348" i="4"/>
  <c r="H348" i="4" s="1"/>
  <c r="G349" i="4"/>
  <c r="H349" i="4" s="1"/>
  <c r="G350" i="4"/>
  <c r="H350" i="4" s="1"/>
  <c r="G351" i="4"/>
  <c r="H351" i="4" s="1"/>
  <c r="G352" i="4"/>
  <c r="H352" i="4" s="1"/>
  <c r="G353" i="4"/>
  <c r="H353" i="4" s="1"/>
  <c r="G354" i="4"/>
  <c r="H354" i="4" s="1"/>
  <c r="G355" i="4"/>
  <c r="H355" i="4" s="1"/>
  <c r="G356" i="4"/>
  <c r="H356" i="4" s="1"/>
  <c r="G357" i="4"/>
  <c r="H357" i="4" s="1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H363" i="4" s="1"/>
  <c r="G364" i="4"/>
  <c r="H364" i="4" s="1"/>
  <c r="G365" i="4"/>
  <c r="H365" i="4" s="1"/>
  <c r="G366" i="4"/>
  <c r="H366" i="4" s="1"/>
  <c r="G367" i="4"/>
  <c r="H367" i="4" s="1"/>
  <c r="G368" i="4"/>
  <c r="H368" i="4" s="1"/>
  <c r="G369" i="4"/>
  <c r="H369" i="4" s="1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H381" i="4" s="1"/>
  <c r="G382" i="4"/>
  <c r="H382" i="4" s="1"/>
  <c r="G383" i="4"/>
  <c r="H383" i="4" s="1"/>
  <c r="G384" i="4"/>
  <c r="H384" i="4" s="1"/>
  <c r="G385" i="4"/>
  <c r="H385" i="4" s="1"/>
  <c r="G386" i="4"/>
  <c r="H386" i="4" s="1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H397" i="4" s="1"/>
  <c r="G398" i="4"/>
  <c r="H398" i="4" s="1"/>
  <c r="G399" i="4"/>
  <c r="H399" i="4" s="1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H405" i="4" s="1"/>
  <c r="G406" i="4"/>
  <c r="H406" i="4" s="1"/>
  <c r="G407" i="4"/>
  <c r="H407" i="4" s="1"/>
  <c r="G408" i="4"/>
  <c r="H408" i="4" s="1"/>
  <c r="G409" i="4"/>
  <c r="H409" i="4" s="1"/>
  <c r="G410" i="4"/>
  <c r="H410" i="4" s="1"/>
  <c r="G411" i="4"/>
  <c r="H411" i="4" s="1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H417" i="4" s="1"/>
  <c r="G418" i="4"/>
  <c r="H418" i="4" s="1"/>
  <c r="G419" i="4"/>
  <c r="H419" i="4" s="1"/>
  <c r="G420" i="4"/>
  <c r="H420" i="4" s="1"/>
  <c r="G421" i="4"/>
  <c r="H421" i="4" s="1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H429" i="4" s="1"/>
  <c r="G430" i="4"/>
  <c r="H430" i="4" s="1"/>
  <c r="G431" i="4"/>
  <c r="H431" i="4" s="1"/>
  <c r="G432" i="4"/>
  <c r="H432" i="4" s="1"/>
  <c r="G433" i="4"/>
  <c r="H433" i="4" s="1"/>
  <c r="G434" i="4"/>
  <c r="H434" i="4" s="1"/>
  <c r="G435" i="4"/>
  <c r="H435" i="4" s="1"/>
  <c r="G436" i="4"/>
  <c r="H436" i="4" s="1"/>
  <c r="G437" i="4"/>
  <c r="H437" i="4" s="1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H445" i="4" s="1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H451" i="4" s="1"/>
  <c r="G452" i="4"/>
  <c r="H452" i="4" s="1"/>
  <c r="G453" i="4"/>
  <c r="H453" i="4" s="1"/>
  <c r="G454" i="4"/>
  <c r="H454" i="4" s="1"/>
  <c r="G455" i="4"/>
  <c r="H455" i="4" s="1"/>
  <c r="G456" i="4"/>
  <c r="H456" i="4" s="1"/>
  <c r="G457" i="4"/>
  <c r="H457" i="4" s="1"/>
  <c r="G458" i="4"/>
  <c r="H458" i="4" s="1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H465" i="4" s="1"/>
  <c r="G466" i="4"/>
  <c r="H466" i="4" s="1"/>
  <c r="G467" i="4"/>
  <c r="H467" i="4" s="1"/>
  <c r="G468" i="4"/>
  <c r="H468" i="4" s="1"/>
  <c r="G469" i="4"/>
  <c r="H469" i="4" s="1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H475" i="4" s="1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H481" i="4" s="1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H493" i="4" s="1"/>
  <c r="G494" i="4"/>
  <c r="H494" i="4" s="1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H500" i="4" s="1"/>
  <c r="G501" i="4"/>
  <c r="H501" i="4" s="1"/>
  <c r="G502" i="4"/>
  <c r="H502" i="4" s="1"/>
  <c r="G503" i="4"/>
  <c r="H503" i="4" s="1"/>
  <c r="G504" i="4"/>
  <c r="H504" i="4" s="1"/>
  <c r="G505" i="4"/>
  <c r="H505" i="4" s="1"/>
  <c r="G506" i="4"/>
  <c r="H506" i="4" s="1"/>
  <c r="G507" i="4"/>
  <c r="H507" i="4" s="1"/>
  <c r="G508" i="4"/>
  <c r="H508" i="4" s="1"/>
  <c r="G509" i="4"/>
  <c r="H509" i="4" s="1"/>
  <c r="G510" i="4"/>
  <c r="H510" i="4" s="1"/>
  <c r="G511" i="4"/>
  <c r="H511" i="4" s="1"/>
  <c r="G512" i="4"/>
  <c r="H512" i="4" s="1"/>
  <c r="G513" i="4"/>
  <c r="H513" i="4" s="1"/>
  <c r="G514" i="4"/>
  <c r="H514" i="4" s="1"/>
  <c r="G515" i="4"/>
  <c r="H515" i="4" s="1"/>
  <c r="G516" i="4"/>
  <c r="H516" i="4" s="1"/>
  <c r="G517" i="4"/>
  <c r="H517" i="4" s="1"/>
  <c r="G518" i="4"/>
  <c r="H518" i="4" s="1"/>
  <c r="G519" i="4"/>
  <c r="H519" i="4" s="1"/>
  <c r="G520" i="4"/>
  <c r="H520" i="4" s="1"/>
  <c r="G521" i="4"/>
  <c r="H521" i="4" s="1"/>
  <c r="G522" i="4"/>
  <c r="H522" i="4" s="1"/>
  <c r="G523" i="4"/>
  <c r="H523" i="4" s="1"/>
  <c r="G524" i="4"/>
  <c r="H524" i="4" s="1"/>
  <c r="G525" i="4"/>
  <c r="H525" i="4" s="1"/>
  <c r="G526" i="4"/>
  <c r="H526" i="4" s="1"/>
  <c r="G527" i="4"/>
  <c r="H527" i="4" s="1"/>
  <c r="G528" i="4"/>
  <c r="H528" i="4" s="1"/>
  <c r="G529" i="4"/>
  <c r="H529" i="4" s="1"/>
  <c r="G530" i="4"/>
  <c r="H530" i="4" s="1"/>
  <c r="G531" i="4"/>
  <c r="H531" i="4" s="1"/>
  <c r="G532" i="4"/>
  <c r="H532" i="4" s="1"/>
  <c r="G533" i="4"/>
  <c r="H533" i="4" s="1"/>
  <c r="G534" i="4"/>
  <c r="H534" i="4" s="1"/>
  <c r="G535" i="4"/>
  <c r="H535" i="4" s="1"/>
  <c r="G536" i="4"/>
  <c r="H536" i="4" s="1"/>
  <c r="G537" i="4"/>
  <c r="H537" i="4" s="1"/>
  <c r="G538" i="4"/>
  <c r="H538" i="4" s="1"/>
  <c r="G539" i="4"/>
  <c r="H539" i="4" s="1"/>
  <c r="G540" i="4"/>
  <c r="H540" i="4" s="1"/>
  <c r="G541" i="4"/>
  <c r="H541" i="4" s="1"/>
  <c r="G542" i="4"/>
  <c r="H542" i="4" s="1"/>
  <c r="G543" i="4"/>
  <c r="H543" i="4" s="1"/>
  <c r="G544" i="4"/>
  <c r="H544" i="4" s="1"/>
  <c r="G545" i="4"/>
  <c r="H545" i="4" s="1"/>
  <c r="G546" i="4"/>
  <c r="H546" i="4" s="1"/>
  <c r="G547" i="4"/>
  <c r="H547" i="4" s="1"/>
  <c r="G548" i="4"/>
  <c r="H548" i="4" s="1"/>
  <c r="G549" i="4"/>
  <c r="H549" i="4" s="1"/>
  <c r="G550" i="4"/>
  <c r="H550" i="4" s="1"/>
  <c r="G551" i="4"/>
  <c r="H551" i="4" s="1"/>
  <c r="G552" i="4"/>
  <c r="H552" i="4" s="1"/>
  <c r="G553" i="4"/>
  <c r="H553" i="4" s="1"/>
  <c r="G554" i="4"/>
  <c r="H554" i="4" s="1"/>
  <c r="G555" i="4"/>
  <c r="H555" i="4" s="1"/>
  <c r="G556" i="4"/>
  <c r="H556" i="4" s="1"/>
  <c r="G557" i="4"/>
  <c r="H557" i="4" s="1"/>
  <c r="G558" i="4"/>
  <c r="H558" i="4" s="1"/>
  <c r="G559" i="4"/>
  <c r="H559" i="4" s="1"/>
  <c r="G560" i="4"/>
  <c r="H560" i="4" s="1"/>
  <c r="G561" i="4"/>
  <c r="H561" i="4" s="1"/>
  <c r="G562" i="4"/>
  <c r="H562" i="4" s="1"/>
  <c r="G563" i="4"/>
  <c r="H563" i="4" s="1"/>
  <c r="G564" i="4"/>
  <c r="H564" i="4" s="1"/>
  <c r="G565" i="4"/>
  <c r="H565" i="4" s="1"/>
  <c r="G566" i="4"/>
  <c r="H566" i="4" s="1"/>
  <c r="G567" i="4"/>
  <c r="H567" i="4" s="1"/>
  <c r="G568" i="4"/>
  <c r="H568" i="4" s="1"/>
  <c r="G569" i="4"/>
  <c r="H569" i="4" s="1"/>
  <c r="G570" i="4"/>
  <c r="H570" i="4" s="1"/>
  <c r="G571" i="4"/>
  <c r="H571" i="4" s="1"/>
  <c r="G572" i="4"/>
  <c r="H572" i="4" s="1"/>
  <c r="G573" i="4"/>
  <c r="H573" i="4" s="1"/>
  <c r="G574" i="4"/>
  <c r="H574" i="4" s="1"/>
  <c r="G575" i="4"/>
  <c r="H575" i="4" s="1"/>
  <c r="G576" i="4"/>
  <c r="H576" i="4" s="1"/>
  <c r="G577" i="4"/>
  <c r="H577" i="4" s="1"/>
  <c r="G578" i="4"/>
  <c r="H578" i="4" s="1"/>
  <c r="G579" i="4"/>
  <c r="H579" i="4" s="1"/>
  <c r="G580" i="4"/>
  <c r="H580" i="4" s="1"/>
  <c r="G581" i="4"/>
  <c r="H581" i="4" s="1"/>
  <c r="G582" i="4"/>
  <c r="H582" i="4" s="1"/>
  <c r="G583" i="4"/>
  <c r="H583" i="4" s="1"/>
  <c r="G584" i="4"/>
  <c r="H584" i="4" s="1"/>
  <c r="G585" i="4"/>
  <c r="H585" i="4" s="1"/>
  <c r="G586" i="4"/>
  <c r="H586" i="4" s="1"/>
  <c r="G587" i="4"/>
  <c r="H587" i="4" s="1"/>
  <c r="G588" i="4"/>
  <c r="H588" i="4" s="1"/>
  <c r="G589" i="4"/>
  <c r="H589" i="4" s="1"/>
  <c r="G590" i="4"/>
  <c r="H590" i="4" s="1"/>
  <c r="G591" i="4"/>
  <c r="H591" i="4" s="1"/>
  <c r="G592" i="4"/>
  <c r="H592" i="4" s="1"/>
  <c r="G593" i="4"/>
  <c r="H593" i="4" s="1"/>
  <c r="G594" i="4"/>
  <c r="H594" i="4" s="1"/>
  <c r="G595" i="4"/>
  <c r="H595" i="4" s="1"/>
  <c r="G596" i="4"/>
  <c r="H596" i="4" s="1"/>
  <c r="G597" i="4"/>
  <c r="H597" i="4" s="1"/>
  <c r="G598" i="4"/>
  <c r="H598" i="4" s="1"/>
  <c r="G599" i="4"/>
  <c r="H599" i="4" s="1"/>
  <c r="G600" i="4"/>
  <c r="H600" i="4" s="1"/>
  <c r="G601" i="4"/>
  <c r="H601" i="4" s="1"/>
  <c r="G602" i="4"/>
  <c r="H602" i="4" s="1"/>
  <c r="G603" i="4"/>
  <c r="H603" i="4" s="1"/>
  <c r="G604" i="4"/>
  <c r="H604" i="4" s="1"/>
  <c r="G605" i="4"/>
  <c r="H605" i="4" s="1"/>
  <c r="G606" i="4"/>
  <c r="H606" i="4" s="1"/>
  <c r="G607" i="4"/>
  <c r="H607" i="4" s="1"/>
  <c r="G608" i="4"/>
  <c r="H608" i="4" s="1"/>
  <c r="G609" i="4"/>
  <c r="H609" i="4" s="1"/>
  <c r="G610" i="4"/>
  <c r="H610" i="4" s="1"/>
  <c r="G611" i="4"/>
  <c r="H611" i="4" s="1"/>
  <c r="G612" i="4"/>
  <c r="H612" i="4" s="1"/>
  <c r="G613" i="4"/>
  <c r="H613" i="4" s="1"/>
  <c r="G614" i="4"/>
  <c r="H614" i="4" s="1"/>
  <c r="G615" i="4"/>
  <c r="H615" i="4" s="1"/>
  <c r="G616" i="4"/>
  <c r="H616" i="4" s="1"/>
  <c r="G617" i="4"/>
  <c r="H617" i="4" s="1"/>
  <c r="G618" i="4"/>
  <c r="H618" i="4" s="1"/>
  <c r="G619" i="4"/>
  <c r="H619" i="4" s="1"/>
  <c r="G620" i="4"/>
  <c r="H620" i="4" s="1"/>
  <c r="G621" i="4"/>
  <c r="H621" i="4" s="1"/>
  <c r="G622" i="4"/>
  <c r="H622" i="4" s="1"/>
  <c r="G623" i="4"/>
  <c r="H623" i="4" s="1"/>
  <c r="G624" i="4"/>
  <c r="H624" i="4" s="1"/>
  <c r="G625" i="4"/>
  <c r="H625" i="4" s="1"/>
  <c r="G626" i="4"/>
  <c r="H626" i="4" s="1"/>
  <c r="G627" i="4"/>
  <c r="H627" i="4" s="1"/>
  <c r="G628" i="4"/>
  <c r="H628" i="4" s="1"/>
  <c r="G629" i="4"/>
  <c r="H629" i="4" s="1"/>
  <c r="G630" i="4"/>
  <c r="H630" i="4" s="1"/>
  <c r="G631" i="4"/>
  <c r="H631" i="4" s="1"/>
  <c r="G632" i="4"/>
  <c r="H632" i="4" s="1"/>
  <c r="G633" i="4"/>
  <c r="H633" i="4" s="1"/>
  <c r="G634" i="4"/>
  <c r="H634" i="4" s="1"/>
  <c r="G635" i="4"/>
  <c r="H635" i="4" s="1"/>
  <c r="G636" i="4"/>
  <c r="H636" i="4" s="1"/>
  <c r="G637" i="4"/>
  <c r="H637" i="4" s="1"/>
  <c r="G638" i="4"/>
  <c r="H638" i="4" s="1"/>
  <c r="G639" i="4"/>
  <c r="H639" i="4" s="1"/>
  <c r="G640" i="4"/>
  <c r="H640" i="4" s="1"/>
  <c r="G641" i="4"/>
  <c r="H641" i="4" s="1"/>
  <c r="G642" i="4"/>
  <c r="H642" i="4" s="1"/>
  <c r="G643" i="4"/>
  <c r="H643" i="4" s="1"/>
  <c r="G644" i="4"/>
  <c r="H644" i="4" s="1"/>
  <c r="G645" i="4"/>
  <c r="H645" i="4" s="1"/>
  <c r="G646" i="4"/>
  <c r="H646" i="4" s="1"/>
  <c r="G647" i="4"/>
  <c r="H647" i="4" s="1"/>
  <c r="G648" i="4"/>
  <c r="H648" i="4" s="1"/>
  <c r="G649" i="4"/>
  <c r="H649" i="4" s="1"/>
  <c r="G650" i="4"/>
  <c r="H650" i="4" s="1"/>
  <c r="G651" i="4"/>
  <c r="H651" i="4" s="1"/>
  <c r="G652" i="4"/>
  <c r="H652" i="4" s="1"/>
  <c r="G653" i="4"/>
  <c r="H653" i="4" s="1"/>
  <c r="G654" i="4"/>
  <c r="H654" i="4" s="1"/>
  <c r="G655" i="4"/>
  <c r="H655" i="4" s="1"/>
  <c r="G656" i="4"/>
  <c r="H656" i="4" s="1"/>
  <c r="G657" i="4"/>
  <c r="H657" i="4" s="1"/>
  <c r="G658" i="4"/>
  <c r="H658" i="4" s="1"/>
  <c r="G659" i="4"/>
  <c r="H659" i="4" s="1"/>
  <c r="G660" i="4"/>
  <c r="H660" i="4" s="1"/>
  <c r="G661" i="4"/>
  <c r="H661" i="4" s="1"/>
  <c r="G662" i="4"/>
  <c r="H662" i="4" s="1"/>
  <c r="G663" i="4"/>
  <c r="H663" i="4" s="1"/>
  <c r="G664" i="4"/>
  <c r="H664" i="4" s="1"/>
  <c r="G665" i="4"/>
  <c r="H665" i="4" s="1"/>
  <c r="G666" i="4"/>
  <c r="H666" i="4" s="1"/>
  <c r="G667" i="4"/>
  <c r="H667" i="4" s="1"/>
  <c r="G668" i="4"/>
  <c r="H668" i="4" s="1"/>
  <c r="G669" i="4"/>
  <c r="H669" i="4" s="1"/>
  <c r="G670" i="4"/>
  <c r="H670" i="4" s="1"/>
  <c r="G671" i="4"/>
  <c r="H671" i="4" s="1"/>
  <c r="G672" i="4"/>
  <c r="H672" i="4" s="1"/>
  <c r="G673" i="4"/>
  <c r="H673" i="4" s="1"/>
  <c r="G674" i="4"/>
  <c r="H674" i="4" s="1"/>
  <c r="G675" i="4"/>
  <c r="H675" i="4" s="1"/>
  <c r="G676" i="4"/>
  <c r="H676" i="4" s="1"/>
  <c r="G677" i="4"/>
  <c r="H677" i="4" s="1"/>
  <c r="G678" i="4"/>
  <c r="H678" i="4" s="1"/>
  <c r="G679" i="4"/>
  <c r="H679" i="4" s="1"/>
  <c r="G680" i="4"/>
  <c r="H680" i="4" s="1"/>
  <c r="G681" i="4"/>
  <c r="H681" i="4" s="1"/>
  <c r="G682" i="4"/>
  <c r="H682" i="4" s="1"/>
  <c r="G683" i="4"/>
  <c r="H683" i="4" s="1"/>
  <c r="G684" i="4"/>
  <c r="H684" i="4" s="1"/>
  <c r="G685" i="4"/>
  <c r="H685" i="4" s="1"/>
  <c r="G686" i="4"/>
  <c r="H686" i="4" s="1"/>
  <c r="G687" i="4"/>
  <c r="H687" i="4" s="1"/>
  <c r="G688" i="4"/>
  <c r="H688" i="4" s="1"/>
  <c r="G689" i="4"/>
  <c r="H689" i="4" s="1"/>
  <c r="G690" i="4"/>
  <c r="H690" i="4" s="1"/>
  <c r="G691" i="4"/>
  <c r="H691" i="4" s="1"/>
  <c r="G692" i="4"/>
  <c r="H692" i="4" s="1"/>
  <c r="G693" i="4"/>
  <c r="H693" i="4" s="1"/>
  <c r="G694" i="4"/>
  <c r="H694" i="4" s="1"/>
  <c r="G695" i="4"/>
  <c r="H695" i="4" s="1"/>
  <c r="G696" i="4"/>
  <c r="H696" i="4" s="1"/>
  <c r="G697" i="4"/>
  <c r="H697" i="4" s="1"/>
  <c r="G698" i="4"/>
  <c r="H698" i="4" s="1"/>
  <c r="G699" i="4"/>
  <c r="H699" i="4" s="1"/>
  <c r="G700" i="4"/>
  <c r="H700" i="4" s="1"/>
  <c r="G701" i="4"/>
  <c r="H701" i="4" s="1"/>
  <c r="G702" i="4"/>
  <c r="H702" i="4" s="1"/>
  <c r="G703" i="4"/>
  <c r="H703" i="4" s="1"/>
  <c r="G704" i="4"/>
  <c r="H704" i="4" s="1"/>
  <c r="G705" i="4"/>
  <c r="H705" i="4" s="1"/>
  <c r="G706" i="4"/>
  <c r="H706" i="4" s="1"/>
  <c r="G707" i="4"/>
  <c r="H707" i="4" s="1"/>
  <c r="G708" i="4"/>
  <c r="H708" i="4" s="1"/>
  <c r="G709" i="4"/>
  <c r="H709" i="4" s="1"/>
  <c r="G710" i="4"/>
  <c r="H710" i="4" s="1"/>
  <c r="G711" i="4"/>
  <c r="H711" i="4" s="1"/>
  <c r="G712" i="4"/>
  <c r="H712" i="4" s="1"/>
  <c r="G713" i="4"/>
  <c r="H713" i="4" s="1"/>
  <c r="G714" i="4"/>
  <c r="H714" i="4" s="1"/>
  <c r="G715" i="4"/>
  <c r="H715" i="4" s="1"/>
  <c r="G716" i="4"/>
  <c r="H716" i="4" s="1"/>
  <c r="G717" i="4"/>
  <c r="H717" i="4" s="1"/>
  <c r="G718" i="4"/>
  <c r="H718" i="4" s="1"/>
  <c r="G719" i="4"/>
  <c r="H719" i="4" s="1"/>
  <c r="G720" i="4"/>
  <c r="H720" i="4" s="1"/>
  <c r="G721" i="4"/>
  <c r="H721" i="4" s="1"/>
  <c r="G722" i="4"/>
  <c r="H722" i="4" s="1"/>
  <c r="G723" i="4"/>
  <c r="H723" i="4" s="1"/>
  <c r="G724" i="4"/>
  <c r="H724" i="4" s="1"/>
  <c r="G725" i="4"/>
  <c r="H725" i="4" s="1"/>
  <c r="G726" i="4"/>
  <c r="H726" i="4" s="1"/>
  <c r="G727" i="4"/>
  <c r="H727" i="4" s="1"/>
  <c r="G728" i="4"/>
  <c r="H728" i="4" s="1"/>
  <c r="G729" i="4"/>
  <c r="H729" i="4" s="1"/>
  <c r="G730" i="4"/>
  <c r="H730" i="4" s="1"/>
  <c r="G731" i="4"/>
  <c r="H731" i="4" s="1"/>
  <c r="G732" i="4"/>
  <c r="H732" i="4" s="1"/>
  <c r="G733" i="4"/>
  <c r="H733" i="4" s="1"/>
  <c r="G734" i="4"/>
  <c r="H734" i="4" s="1"/>
  <c r="G735" i="4"/>
  <c r="H735" i="4" s="1"/>
  <c r="G736" i="4"/>
  <c r="H736" i="4" s="1"/>
  <c r="G737" i="4"/>
  <c r="H737" i="4" s="1"/>
  <c r="G738" i="4"/>
  <c r="H738" i="4" s="1"/>
  <c r="G739" i="4"/>
  <c r="H739" i="4" s="1"/>
  <c r="G740" i="4"/>
  <c r="H740" i="4" s="1"/>
  <c r="G741" i="4"/>
  <c r="H741" i="4" s="1"/>
  <c r="G742" i="4"/>
  <c r="H742" i="4" s="1"/>
  <c r="G743" i="4"/>
  <c r="H743" i="4" s="1"/>
  <c r="G744" i="4"/>
  <c r="H744" i="4" s="1"/>
  <c r="G745" i="4"/>
  <c r="H745" i="4" s="1"/>
  <c r="G746" i="4"/>
  <c r="H746" i="4" s="1"/>
  <c r="G747" i="4"/>
  <c r="H747" i="4" s="1"/>
  <c r="G748" i="4"/>
  <c r="H748" i="4" s="1"/>
  <c r="G749" i="4"/>
  <c r="H749" i="4" s="1"/>
  <c r="G750" i="4"/>
  <c r="H750" i="4" s="1"/>
  <c r="G751" i="4"/>
  <c r="H751" i="4" s="1"/>
  <c r="G752" i="4"/>
  <c r="H752" i="4" s="1"/>
  <c r="G753" i="4"/>
  <c r="H753" i="4" s="1"/>
  <c r="G754" i="4"/>
  <c r="H754" i="4" s="1"/>
  <c r="G755" i="4"/>
  <c r="H755" i="4" s="1"/>
  <c r="G756" i="4"/>
  <c r="H756" i="4" s="1"/>
  <c r="G757" i="4"/>
  <c r="H757" i="4" s="1"/>
  <c r="G758" i="4"/>
  <c r="H758" i="4" s="1"/>
  <c r="G759" i="4"/>
  <c r="H759" i="4" s="1"/>
  <c r="G760" i="4"/>
  <c r="H760" i="4" s="1"/>
  <c r="G761" i="4"/>
  <c r="H761" i="4" s="1"/>
  <c r="G762" i="4"/>
  <c r="H762" i="4" s="1"/>
  <c r="G763" i="4"/>
  <c r="H763" i="4" s="1"/>
  <c r="G764" i="4"/>
  <c r="H764" i="4" s="1"/>
  <c r="G765" i="4"/>
  <c r="H765" i="4" s="1"/>
  <c r="G766" i="4"/>
  <c r="H766" i="4" s="1"/>
  <c r="G767" i="4"/>
  <c r="H767" i="4" s="1"/>
  <c r="G768" i="4"/>
  <c r="H768" i="4" s="1"/>
  <c r="G769" i="4"/>
  <c r="H769" i="4" s="1"/>
  <c r="G770" i="4"/>
  <c r="H770" i="4" s="1"/>
  <c r="G771" i="4"/>
  <c r="H771" i="4" s="1"/>
  <c r="G772" i="4"/>
  <c r="H772" i="4" s="1"/>
  <c r="G773" i="4"/>
  <c r="H773" i="4" s="1"/>
  <c r="G774" i="4"/>
  <c r="H774" i="4" s="1"/>
  <c r="G775" i="4"/>
  <c r="H775" i="4" s="1"/>
  <c r="G776" i="4"/>
  <c r="H776" i="4" s="1"/>
  <c r="G777" i="4"/>
  <c r="H777" i="4" s="1"/>
  <c r="G778" i="4"/>
  <c r="H778" i="4" s="1"/>
  <c r="G779" i="4"/>
  <c r="H779" i="4" s="1"/>
  <c r="G780" i="4"/>
  <c r="H780" i="4" s="1"/>
  <c r="G781" i="4"/>
  <c r="H781" i="4" s="1"/>
  <c r="G782" i="4"/>
  <c r="H782" i="4" s="1"/>
  <c r="G783" i="4"/>
  <c r="H783" i="4" s="1"/>
  <c r="G784" i="4"/>
  <c r="H784" i="4" s="1"/>
  <c r="G785" i="4"/>
  <c r="H785" i="4" s="1"/>
  <c r="G786" i="4"/>
  <c r="H786" i="4" s="1"/>
  <c r="G787" i="4"/>
  <c r="H787" i="4" s="1"/>
  <c r="G788" i="4"/>
  <c r="H788" i="4" s="1"/>
  <c r="G789" i="4"/>
  <c r="H789" i="4" s="1"/>
  <c r="G790" i="4"/>
  <c r="H790" i="4" s="1"/>
  <c r="G791" i="4"/>
  <c r="H791" i="4" s="1"/>
  <c r="G792" i="4"/>
  <c r="H792" i="4" s="1"/>
  <c r="G793" i="4"/>
  <c r="H793" i="4" s="1"/>
  <c r="G794" i="4"/>
  <c r="H794" i="4" s="1"/>
  <c r="G795" i="4"/>
  <c r="H795" i="4" s="1"/>
  <c r="G796" i="4"/>
  <c r="H796" i="4" s="1"/>
  <c r="G797" i="4"/>
  <c r="H797" i="4" s="1"/>
  <c r="G798" i="4"/>
  <c r="H798" i="4" s="1"/>
  <c r="G799" i="4"/>
  <c r="H799" i="4" s="1"/>
  <c r="G800" i="4"/>
  <c r="H800" i="4" s="1"/>
  <c r="G801" i="4"/>
  <c r="H801" i="4" s="1"/>
  <c r="G802" i="4"/>
  <c r="H802" i="4" s="1"/>
  <c r="G803" i="4"/>
  <c r="H803" i="4" s="1"/>
  <c r="G804" i="4"/>
  <c r="H804" i="4" s="1"/>
  <c r="G805" i="4"/>
  <c r="H805" i="4" s="1"/>
  <c r="G806" i="4"/>
  <c r="H806" i="4" s="1"/>
  <c r="G807" i="4"/>
  <c r="H807" i="4" s="1"/>
  <c r="G808" i="4"/>
  <c r="H808" i="4" s="1"/>
  <c r="G809" i="4"/>
  <c r="H809" i="4" s="1"/>
  <c r="G810" i="4"/>
  <c r="H810" i="4" s="1"/>
  <c r="G811" i="4"/>
  <c r="H811" i="4" s="1"/>
  <c r="G812" i="4"/>
  <c r="H812" i="4" s="1"/>
  <c r="G813" i="4"/>
  <c r="H813" i="4" s="1"/>
  <c r="G814" i="4"/>
  <c r="H814" i="4" s="1"/>
  <c r="G815" i="4"/>
  <c r="H815" i="4" s="1"/>
  <c r="G816" i="4"/>
  <c r="H816" i="4" s="1"/>
  <c r="G817" i="4"/>
  <c r="H817" i="4" s="1"/>
  <c r="G818" i="4"/>
  <c r="H818" i="4" s="1"/>
  <c r="G819" i="4"/>
  <c r="H819" i="4" s="1"/>
  <c r="G820" i="4"/>
  <c r="H820" i="4" s="1"/>
  <c r="G821" i="4"/>
  <c r="H821" i="4" s="1"/>
  <c r="G822" i="4"/>
  <c r="H822" i="4" s="1"/>
  <c r="G823" i="4"/>
  <c r="H823" i="4" s="1"/>
  <c r="G824" i="4"/>
  <c r="H824" i="4" s="1"/>
  <c r="G825" i="4"/>
  <c r="H825" i="4" s="1"/>
  <c r="G826" i="4"/>
  <c r="H826" i="4" s="1"/>
  <c r="G827" i="4"/>
  <c r="H827" i="4" s="1"/>
  <c r="G828" i="4"/>
  <c r="H828" i="4" s="1"/>
  <c r="G829" i="4"/>
  <c r="H829" i="4" s="1"/>
  <c r="G830" i="4"/>
  <c r="H830" i="4" s="1"/>
  <c r="G831" i="4"/>
  <c r="H831" i="4" s="1"/>
  <c r="G832" i="4"/>
  <c r="H832" i="4" s="1"/>
  <c r="G833" i="4"/>
  <c r="H833" i="4" s="1"/>
  <c r="G834" i="4"/>
  <c r="H834" i="4" s="1"/>
  <c r="G835" i="4"/>
  <c r="H835" i="4" s="1"/>
  <c r="G836" i="4"/>
  <c r="H836" i="4" s="1"/>
  <c r="G837" i="4"/>
  <c r="H837" i="4" s="1"/>
  <c r="G838" i="4"/>
  <c r="H838" i="4" s="1"/>
  <c r="G839" i="4"/>
  <c r="H839" i="4" s="1"/>
  <c r="G840" i="4"/>
  <c r="H840" i="4" s="1"/>
  <c r="G841" i="4"/>
  <c r="H841" i="4" s="1"/>
  <c r="G842" i="4"/>
  <c r="H842" i="4" s="1"/>
  <c r="G843" i="4"/>
  <c r="H843" i="4" s="1"/>
  <c r="G844" i="4"/>
  <c r="H844" i="4" s="1"/>
  <c r="G845" i="4"/>
  <c r="H845" i="4" s="1"/>
  <c r="G846" i="4"/>
  <c r="H846" i="4" s="1"/>
  <c r="G847" i="4"/>
  <c r="H847" i="4" s="1"/>
  <c r="G848" i="4"/>
  <c r="H848" i="4" s="1"/>
  <c r="G849" i="4"/>
  <c r="H849" i="4" s="1"/>
  <c r="G850" i="4"/>
  <c r="H850" i="4" s="1"/>
  <c r="G851" i="4"/>
  <c r="H851" i="4" s="1"/>
  <c r="G852" i="4"/>
  <c r="H852" i="4" s="1"/>
  <c r="G853" i="4"/>
  <c r="H853" i="4" s="1"/>
  <c r="G854" i="4"/>
  <c r="H854" i="4" s="1"/>
  <c r="G855" i="4"/>
  <c r="H855" i="4" s="1"/>
  <c r="G856" i="4"/>
  <c r="H856" i="4" s="1"/>
  <c r="G857" i="4"/>
  <c r="H857" i="4" s="1"/>
  <c r="G858" i="4"/>
  <c r="H858" i="4" s="1"/>
  <c r="G859" i="4"/>
  <c r="H859" i="4" s="1"/>
  <c r="G860" i="4"/>
  <c r="H860" i="4" s="1"/>
  <c r="G861" i="4"/>
  <c r="H861" i="4" s="1"/>
  <c r="G862" i="4"/>
  <c r="H862" i="4" s="1"/>
  <c r="G863" i="4"/>
  <c r="H863" i="4" s="1"/>
  <c r="G864" i="4"/>
  <c r="H864" i="4" s="1"/>
  <c r="G865" i="4"/>
  <c r="H865" i="4" s="1"/>
  <c r="G866" i="4"/>
  <c r="H866" i="4" s="1"/>
  <c r="G867" i="4"/>
  <c r="H867" i="4" s="1"/>
  <c r="G868" i="4"/>
  <c r="H868" i="4" s="1"/>
  <c r="G869" i="4"/>
  <c r="H869" i="4" s="1"/>
  <c r="G870" i="4"/>
  <c r="H870" i="4" s="1"/>
  <c r="G871" i="4"/>
  <c r="H871" i="4" s="1"/>
  <c r="G872" i="4"/>
  <c r="H872" i="4" s="1"/>
  <c r="G873" i="4"/>
  <c r="H873" i="4" s="1"/>
  <c r="G874" i="4"/>
  <c r="H874" i="4" s="1"/>
  <c r="G875" i="4"/>
  <c r="H875" i="4" s="1"/>
  <c r="G876" i="4"/>
  <c r="H876" i="4" s="1"/>
  <c r="G877" i="4"/>
  <c r="H877" i="4" s="1"/>
  <c r="G878" i="4"/>
  <c r="H878" i="4" s="1"/>
  <c r="G879" i="4"/>
  <c r="H879" i="4" s="1"/>
  <c r="G880" i="4"/>
  <c r="H880" i="4" s="1"/>
  <c r="G881" i="4"/>
  <c r="H881" i="4" s="1"/>
  <c r="G882" i="4"/>
  <c r="H882" i="4" s="1"/>
  <c r="G883" i="4"/>
  <c r="H883" i="4" s="1"/>
  <c r="G884" i="4"/>
  <c r="H884" i="4" s="1"/>
  <c r="G885" i="4"/>
  <c r="H885" i="4" s="1"/>
  <c r="G886" i="4"/>
  <c r="H886" i="4" s="1"/>
  <c r="G887" i="4"/>
  <c r="H887" i="4" s="1"/>
  <c r="G888" i="4"/>
  <c r="H888" i="4" s="1"/>
  <c r="G889" i="4"/>
  <c r="H889" i="4" s="1"/>
  <c r="G890" i="4"/>
  <c r="H890" i="4" s="1"/>
  <c r="G891" i="4"/>
  <c r="H891" i="4" s="1"/>
  <c r="G892" i="4"/>
  <c r="H892" i="4" s="1"/>
  <c r="G893" i="4"/>
  <c r="H893" i="4" s="1"/>
  <c r="G894" i="4"/>
  <c r="H894" i="4" s="1"/>
  <c r="G895" i="4"/>
  <c r="H895" i="4" s="1"/>
  <c r="G896" i="4"/>
  <c r="H896" i="4" s="1"/>
  <c r="G897" i="4"/>
  <c r="H897" i="4" s="1"/>
  <c r="G898" i="4"/>
  <c r="H898" i="4" s="1"/>
  <c r="G899" i="4"/>
  <c r="H899" i="4" s="1"/>
  <c r="G900" i="4"/>
  <c r="H900" i="4" s="1"/>
  <c r="G901" i="4"/>
  <c r="H901" i="4" s="1"/>
  <c r="G902" i="4"/>
  <c r="H902" i="4" s="1"/>
  <c r="G903" i="4"/>
  <c r="H903" i="4" s="1"/>
  <c r="G904" i="4"/>
  <c r="H904" i="4" s="1"/>
  <c r="G905" i="4"/>
  <c r="H905" i="4" s="1"/>
  <c r="G906" i="4"/>
  <c r="H906" i="4" s="1"/>
  <c r="G907" i="4"/>
  <c r="H907" i="4" s="1"/>
  <c r="G908" i="4"/>
  <c r="H908" i="4" s="1"/>
  <c r="G909" i="4"/>
  <c r="H909" i="4" s="1"/>
  <c r="G910" i="4"/>
  <c r="H910" i="4" s="1"/>
  <c r="G911" i="4"/>
  <c r="H911" i="4" s="1"/>
  <c r="G912" i="4"/>
  <c r="H912" i="4" s="1"/>
  <c r="G913" i="4"/>
  <c r="H913" i="4" s="1"/>
  <c r="G914" i="4"/>
  <c r="H914" i="4" s="1"/>
  <c r="G915" i="4"/>
  <c r="H915" i="4" s="1"/>
  <c r="G916" i="4"/>
  <c r="H916" i="4" s="1"/>
  <c r="G917" i="4"/>
  <c r="H917" i="4" s="1"/>
  <c r="G918" i="4"/>
  <c r="H918" i="4" s="1"/>
  <c r="G919" i="4"/>
  <c r="H919" i="4" s="1"/>
  <c r="G920" i="4"/>
  <c r="H920" i="4" s="1"/>
  <c r="G921" i="4"/>
  <c r="H921" i="4" s="1"/>
  <c r="G922" i="4"/>
  <c r="H922" i="4" s="1"/>
  <c r="G923" i="4"/>
  <c r="H923" i="4" s="1"/>
  <c r="G924" i="4"/>
  <c r="H924" i="4" s="1"/>
  <c r="G925" i="4"/>
  <c r="H925" i="4" s="1"/>
  <c r="G926" i="4"/>
  <c r="H926" i="4" s="1"/>
  <c r="G927" i="4"/>
  <c r="H927" i="4" s="1"/>
  <c r="G928" i="4"/>
  <c r="H928" i="4" s="1"/>
  <c r="G929" i="4"/>
  <c r="H929" i="4" s="1"/>
  <c r="G930" i="4"/>
  <c r="H930" i="4" s="1"/>
  <c r="G931" i="4"/>
  <c r="H931" i="4" s="1"/>
  <c r="G932" i="4"/>
  <c r="H932" i="4" s="1"/>
  <c r="G933" i="4"/>
  <c r="H933" i="4" s="1"/>
  <c r="G934" i="4"/>
  <c r="H934" i="4" s="1"/>
  <c r="G935" i="4"/>
  <c r="H935" i="4" s="1"/>
  <c r="G936" i="4"/>
  <c r="H936" i="4" s="1"/>
  <c r="G937" i="4"/>
  <c r="H937" i="4" s="1"/>
  <c r="G938" i="4"/>
  <c r="H938" i="4" s="1"/>
  <c r="G939" i="4"/>
  <c r="H939" i="4" s="1"/>
  <c r="G940" i="4"/>
  <c r="H940" i="4" s="1"/>
  <c r="G941" i="4"/>
  <c r="H941" i="4" s="1"/>
  <c r="G942" i="4"/>
  <c r="H942" i="4" s="1"/>
  <c r="G943" i="4"/>
  <c r="H943" i="4" s="1"/>
  <c r="G944" i="4"/>
  <c r="H944" i="4" s="1"/>
  <c r="G945" i="4"/>
  <c r="H945" i="4" s="1"/>
  <c r="G946" i="4"/>
  <c r="H946" i="4" s="1"/>
  <c r="G947" i="4"/>
  <c r="H947" i="4" s="1"/>
  <c r="G948" i="4"/>
  <c r="H948" i="4" s="1"/>
  <c r="G949" i="4"/>
  <c r="H949" i="4" s="1"/>
  <c r="G950" i="4"/>
  <c r="H950" i="4" s="1"/>
  <c r="G951" i="4"/>
  <c r="H951" i="4" s="1"/>
  <c r="G952" i="4"/>
  <c r="H952" i="4" s="1"/>
  <c r="G953" i="4"/>
  <c r="H953" i="4" s="1"/>
  <c r="G954" i="4"/>
  <c r="H954" i="4" s="1"/>
  <c r="G955" i="4"/>
  <c r="H955" i="4" s="1"/>
  <c r="G956" i="4"/>
  <c r="H956" i="4" s="1"/>
  <c r="G957" i="4"/>
  <c r="H957" i="4" s="1"/>
  <c r="G958" i="4"/>
  <c r="H958" i="4" s="1"/>
  <c r="G959" i="4"/>
  <c r="H959" i="4" s="1"/>
  <c r="G960" i="4"/>
  <c r="H960" i="4" s="1"/>
  <c r="G961" i="4"/>
  <c r="H961" i="4" s="1"/>
  <c r="G962" i="4"/>
  <c r="H962" i="4" s="1"/>
  <c r="G963" i="4"/>
  <c r="H963" i="4" s="1"/>
  <c r="G964" i="4"/>
  <c r="H964" i="4" s="1"/>
  <c r="G965" i="4"/>
  <c r="H965" i="4" s="1"/>
  <c r="G966" i="4"/>
  <c r="H966" i="4" s="1"/>
  <c r="G967" i="4"/>
  <c r="H967" i="4" s="1"/>
  <c r="G968" i="4"/>
  <c r="H968" i="4" s="1"/>
  <c r="G969" i="4"/>
  <c r="H969" i="4" s="1"/>
  <c r="G970" i="4"/>
  <c r="H970" i="4" s="1"/>
  <c r="G971" i="4"/>
  <c r="H971" i="4" s="1"/>
  <c r="G972" i="4"/>
  <c r="H972" i="4" s="1"/>
  <c r="G973" i="4"/>
  <c r="H973" i="4" s="1"/>
  <c r="G974" i="4"/>
  <c r="H974" i="4" s="1"/>
  <c r="G975" i="4"/>
  <c r="H975" i="4" s="1"/>
  <c r="G976" i="4"/>
  <c r="H976" i="4" s="1"/>
  <c r="G977" i="4"/>
  <c r="H977" i="4" s="1"/>
  <c r="G978" i="4"/>
  <c r="H978" i="4" s="1"/>
  <c r="G979" i="4"/>
  <c r="H979" i="4" s="1"/>
  <c r="G980" i="4"/>
  <c r="H980" i="4" s="1"/>
  <c r="G981" i="4"/>
  <c r="H981" i="4" s="1"/>
  <c r="G982" i="4"/>
  <c r="H982" i="4" s="1"/>
  <c r="G983" i="4"/>
  <c r="H983" i="4" s="1"/>
  <c r="G984" i="4"/>
  <c r="H984" i="4" s="1"/>
  <c r="G985" i="4"/>
  <c r="H985" i="4" s="1"/>
  <c r="G986" i="4"/>
  <c r="H986" i="4" s="1"/>
  <c r="G987" i="4"/>
  <c r="H987" i="4" s="1"/>
  <c r="G988" i="4"/>
  <c r="H988" i="4" s="1"/>
  <c r="G989" i="4"/>
  <c r="H989" i="4" s="1"/>
  <c r="G990" i="4"/>
  <c r="H990" i="4" s="1"/>
  <c r="G991" i="4"/>
  <c r="H991" i="4" s="1"/>
  <c r="G992" i="4"/>
  <c r="H992" i="4" s="1"/>
  <c r="G993" i="4"/>
  <c r="H993" i="4" s="1"/>
  <c r="G994" i="4"/>
  <c r="H994" i="4" s="1"/>
  <c r="G995" i="4"/>
  <c r="H995" i="4" s="1"/>
  <c r="G996" i="4"/>
  <c r="H996" i="4" s="1"/>
  <c r="G997" i="4"/>
  <c r="H997" i="4" s="1"/>
  <c r="G998" i="4"/>
  <c r="H998" i="4" s="1"/>
  <c r="G999" i="4"/>
  <c r="H999" i="4" s="1"/>
  <c r="G1000" i="4"/>
  <c r="H1000" i="4" s="1"/>
  <c r="G1001" i="4"/>
  <c r="H1001" i="4" s="1"/>
  <c r="G1002" i="4"/>
  <c r="H1002" i="4" s="1"/>
  <c r="G1003" i="4"/>
  <c r="H1003" i="4" s="1"/>
  <c r="G1004" i="4"/>
  <c r="H1004" i="4" s="1"/>
  <c r="G1005" i="4"/>
  <c r="H1005" i="4" s="1"/>
  <c r="G1006" i="4"/>
  <c r="H1006" i="4" s="1"/>
  <c r="G1007" i="4"/>
  <c r="H1007" i="4" s="1"/>
  <c r="G1008" i="4"/>
  <c r="H1008" i="4" s="1"/>
  <c r="G1009" i="4"/>
  <c r="H1009" i="4" s="1"/>
  <c r="G1010" i="4"/>
  <c r="H1010" i="4" s="1"/>
  <c r="G1011" i="4"/>
  <c r="H1011" i="4" s="1"/>
  <c r="G1012" i="4"/>
  <c r="H1012" i="4" s="1"/>
  <c r="G1013" i="4"/>
  <c r="H1013" i="4" s="1"/>
  <c r="G14" i="4"/>
  <c r="D3" i="2"/>
  <c r="E2" i="2"/>
  <c r="I2" i="2" s="1"/>
  <c r="E3" i="2"/>
  <c r="J2" i="2"/>
  <c r="M18" i="2"/>
  <c r="M19" i="2" s="1"/>
  <c r="M20" i="2" s="1"/>
  <c r="M21" i="2" s="1"/>
  <c r="M7" i="2"/>
  <c r="M8" i="2" s="1"/>
  <c r="D17" i="1" l="1"/>
  <c r="F17" i="1" s="1"/>
  <c r="T1014" i="4"/>
  <c r="AA26" i="4"/>
  <c r="AB26" i="4" s="1"/>
  <c r="AB20" i="4"/>
  <c r="AA20" i="4"/>
  <c r="G1014" i="4"/>
  <c r="V6" i="4" s="1"/>
  <c r="Y14" i="4" s="1"/>
  <c r="H14" i="4"/>
  <c r="Y13" i="4" s="1"/>
  <c r="F4" i="2"/>
  <c r="I4" i="2"/>
  <c r="E5" i="2" s="1"/>
  <c r="F3" i="2"/>
  <c r="I3" i="2"/>
  <c r="J3" i="2" s="1"/>
  <c r="K3" i="2"/>
  <c r="M9" i="2"/>
  <c r="AA18" i="4" l="1"/>
  <c r="AB18" i="4" s="1"/>
  <c r="D8" i="3"/>
  <c r="J4" i="2"/>
  <c r="M10" i="2"/>
  <c r="I8" i="3" l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J8" i="3"/>
  <c r="F5" i="2"/>
  <c r="I5" i="2"/>
  <c r="M11" i="2"/>
  <c r="L8" i="3" l="1"/>
  <c r="K8" i="3"/>
  <c r="D45" i="3"/>
  <c r="D46" i="3" s="1"/>
  <c r="D47" i="3" s="1"/>
  <c r="D48" i="3" s="1"/>
  <c r="D49" i="3" s="1"/>
  <c r="J5" i="2"/>
  <c r="E6" i="2"/>
  <c r="F9" i="3" l="1"/>
  <c r="E9" i="3"/>
  <c r="M8" i="3"/>
  <c r="D50" i="3"/>
  <c r="D51" i="3" s="1"/>
  <c r="D52" i="3" s="1"/>
  <c r="D53" i="3" s="1"/>
  <c r="D54" i="3" s="1"/>
  <c r="D55" i="3" s="1"/>
  <c r="D56" i="3" s="1"/>
  <c r="D57" i="3" s="1"/>
  <c r="D58" i="3" s="1"/>
  <c r="I6" i="2"/>
  <c r="F6" i="2"/>
  <c r="G9" i="3" l="1"/>
  <c r="J9" i="3"/>
  <c r="J6" i="2"/>
  <c r="E7" i="2"/>
  <c r="I9" i="3" l="1"/>
  <c r="K9" i="3" s="1"/>
  <c r="F10" i="3" s="1"/>
  <c r="L9" i="3"/>
  <c r="D59" i="3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I7" i="2"/>
  <c r="F7" i="2"/>
  <c r="E10" i="3" l="1"/>
  <c r="G10" i="3" s="1"/>
  <c r="M9" i="3"/>
  <c r="E8" i="2"/>
  <c r="J7" i="2"/>
  <c r="J10" i="3" l="1"/>
  <c r="D70" i="3"/>
  <c r="D71" i="3" s="1"/>
  <c r="D72" i="3" s="1"/>
  <c r="D73" i="3" s="1"/>
  <c r="D74" i="3" s="1"/>
  <c r="D75" i="3" s="1"/>
  <c r="D76" i="3" s="1"/>
  <c r="D77" i="3" s="1"/>
  <c r="I8" i="2"/>
  <c r="F8" i="2"/>
  <c r="I10" i="3" l="1"/>
  <c r="K10" i="3" s="1"/>
  <c r="L10" i="3"/>
  <c r="D78" i="3"/>
  <c r="J8" i="2"/>
  <c r="E9" i="2"/>
  <c r="F11" i="3" l="1"/>
  <c r="E11" i="3"/>
  <c r="M10" i="3"/>
  <c r="D79" i="3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I9" i="2"/>
  <c r="F9" i="2"/>
  <c r="G11" i="3" l="1"/>
  <c r="J11" i="3"/>
  <c r="E10" i="2"/>
  <c r="J9" i="2"/>
  <c r="I11" i="3" l="1"/>
  <c r="K11" i="3" s="1"/>
  <c r="F12" i="3" s="1"/>
  <c r="L11" i="3"/>
  <c r="D92" i="3"/>
  <c r="D93" i="3" s="1"/>
  <c r="D94" i="3" s="1"/>
  <c r="D95" i="3" s="1"/>
  <c r="D96" i="3" s="1"/>
  <c r="D97" i="3" s="1"/>
  <c r="I10" i="2"/>
  <c r="F10" i="2"/>
  <c r="M11" i="3" l="1"/>
  <c r="E12" i="3"/>
  <c r="G12" i="3" s="1"/>
  <c r="D98" i="3"/>
  <c r="D99" i="3" s="1"/>
  <c r="D100" i="3" s="1"/>
  <c r="D101" i="3" s="1"/>
  <c r="D102" i="3" s="1"/>
  <c r="D103" i="3" s="1"/>
  <c r="D104" i="3" s="1"/>
  <c r="D105" i="3" s="1"/>
  <c r="J10" i="2"/>
  <c r="E11" i="2"/>
  <c r="I12" i="3" l="1"/>
  <c r="J12" i="3"/>
  <c r="L12" i="3" s="1"/>
  <c r="D106" i="3"/>
  <c r="I11" i="2"/>
  <c r="F11" i="2"/>
  <c r="K12" i="3" l="1"/>
  <c r="E13" i="3" s="1"/>
  <c r="E12" i="2"/>
  <c r="J11" i="2"/>
  <c r="M12" i="3" l="1"/>
  <c r="F13" i="3"/>
  <c r="G13" i="3" s="1"/>
  <c r="I12" i="2"/>
  <c r="F12" i="2"/>
  <c r="I13" i="3" l="1"/>
  <c r="J13" i="3"/>
  <c r="L13" i="3" s="1"/>
  <c r="J12" i="2"/>
  <c r="E13" i="2"/>
  <c r="K13" i="3" l="1"/>
  <c r="F14" i="3" s="1"/>
  <c r="I13" i="2"/>
  <c r="F13" i="2"/>
  <c r="E14" i="3" l="1"/>
  <c r="G14" i="3" s="1"/>
  <c r="M13" i="3"/>
  <c r="E14" i="2"/>
  <c r="J13" i="2"/>
  <c r="I14" i="3" l="1"/>
  <c r="J14" i="3"/>
  <c r="L14" i="3" s="1"/>
  <c r="I14" i="2"/>
  <c r="F14" i="2"/>
  <c r="K14" i="3" l="1"/>
  <c r="J14" i="2"/>
  <c r="E15" i="2"/>
  <c r="F15" i="3" l="1"/>
  <c r="M14" i="3"/>
  <c r="E15" i="3"/>
  <c r="I15" i="2"/>
  <c r="F15" i="2"/>
  <c r="G15" i="3" l="1"/>
  <c r="I15" i="3" s="1"/>
  <c r="J15" i="3"/>
  <c r="L15" i="3" s="1"/>
  <c r="E16" i="2"/>
  <c r="J15" i="2"/>
  <c r="K15" i="3" l="1"/>
  <c r="E16" i="3" s="1"/>
  <c r="I16" i="2"/>
  <c r="F16" i="2"/>
  <c r="F16" i="3" l="1"/>
  <c r="G16" i="3" s="1"/>
  <c r="M15" i="3"/>
  <c r="J16" i="2"/>
  <c r="E17" i="2"/>
  <c r="J16" i="3" l="1"/>
  <c r="L16" i="3" s="1"/>
  <c r="I16" i="3"/>
  <c r="F17" i="2"/>
  <c r="I17" i="2"/>
  <c r="K16" i="3" l="1"/>
  <c r="E18" i="2"/>
  <c r="J17" i="2"/>
  <c r="F17" i="3" l="1"/>
  <c r="E17" i="3"/>
  <c r="M16" i="3"/>
  <c r="I18" i="2"/>
  <c r="F18" i="2"/>
  <c r="G17" i="3" l="1"/>
  <c r="I17" i="3" s="1"/>
  <c r="J17" i="3"/>
  <c r="L17" i="3" s="1"/>
  <c r="J18" i="2"/>
  <c r="E19" i="2"/>
  <c r="K17" i="3" l="1"/>
  <c r="E18" i="3" s="1"/>
  <c r="I19" i="2"/>
  <c r="F19" i="2"/>
  <c r="F18" i="3" l="1"/>
  <c r="G18" i="3" s="1"/>
  <c r="M17" i="3"/>
  <c r="E20" i="2"/>
  <c r="J19" i="2"/>
  <c r="I18" i="3" l="1"/>
  <c r="J18" i="3"/>
  <c r="L18" i="3" s="1"/>
  <c r="I20" i="2"/>
  <c r="F20" i="2"/>
  <c r="K18" i="3" l="1"/>
  <c r="E19" i="3" s="1"/>
  <c r="J20" i="2"/>
  <c r="E21" i="2"/>
  <c r="M18" i="3" l="1"/>
  <c r="F19" i="3"/>
  <c r="G19" i="3" s="1"/>
  <c r="I21" i="2"/>
  <c r="F21" i="2"/>
  <c r="J19" i="3" l="1"/>
  <c r="L19" i="3" s="1"/>
  <c r="I19" i="3"/>
  <c r="E22" i="2"/>
  <c r="J21" i="2"/>
  <c r="K19" i="3" l="1"/>
  <c r="F20" i="3" s="1"/>
  <c r="I22" i="2"/>
  <c r="F22" i="2"/>
  <c r="E20" i="3" l="1"/>
  <c r="G20" i="3" s="1"/>
  <c r="M19" i="3"/>
  <c r="J22" i="2"/>
  <c r="E23" i="2"/>
  <c r="I20" i="3" l="1"/>
  <c r="J20" i="3"/>
  <c r="L20" i="3" s="1"/>
  <c r="I23" i="2"/>
  <c r="F23" i="2"/>
  <c r="K20" i="3" l="1"/>
  <c r="F21" i="3" s="1"/>
  <c r="E24" i="2"/>
  <c r="J23" i="2"/>
  <c r="M20" i="3" l="1"/>
  <c r="E21" i="3"/>
  <c r="G21" i="3" s="1"/>
  <c r="I24" i="2"/>
  <c r="F24" i="2"/>
  <c r="I21" i="3" l="1"/>
  <c r="J21" i="3"/>
  <c r="J24" i="2"/>
  <c r="E25" i="2"/>
  <c r="L21" i="3" l="1"/>
  <c r="K21" i="3"/>
  <c r="F22" i="3" s="1"/>
  <c r="F25" i="2"/>
  <c r="I25" i="2"/>
  <c r="E22" i="3" l="1"/>
  <c r="G22" i="3" s="1"/>
  <c r="M21" i="3"/>
  <c r="E26" i="2"/>
  <c r="J25" i="2"/>
  <c r="J22" i="3" l="1"/>
  <c r="I22" i="3"/>
  <c r="I26" i="2"/>
  <c r="F26" i="2"/>
  <c r="L22" i="3" l="1"/>
  <c r="K22" i="3"/>
  <c r="F23" i="3" s="1"/>
  <c r="J26" i="2"/>
  <c r="E27" i="2"/>
  <c r="E23" i="3" l="1"/>
  <c r="G23" i="3" s="1"/>
  <c r="M22" i="3"/>
  <c r="I27" i="2"/>
  <c r="F27" i="2"/>
  <c r="I23" i="3" l="1"/>
  <c r="J23" i="3"/>
  <c r="E28" i="2"/>
  <c r="J27" i="2"/>
  <c r="L23" i="3" l="1"/>
  <c r="K23" i="3"/>
  <c r="F24" i="3" s="1"/>
  <c r="I28" i="2"/>
  <c r="F28" i="2"/>
  <c r="E24" i="3" l="1"/>
  <c r="G24" i="3" s="1"/>
  <c r="M23" i="3"/>
  <c r="J28" i="2"/>
  <c r="E29" i="2"/>
  <c r="J24" i="3" l="1"/>
  <c r="I24" i="3"/>
  <c r="F29" i="2"/>
  <c r="I29" i="2"/>
  <c r="L24" i="3" l="1"/>
  <c r="K24" i="3"/>
  <c r="E25" i="3" s="1"/>
  <c r="E30" i="2"/>
  <c r="J29" i="2"/>
  <c r="F25" i="3" l="1"/>
  <c r="G25" i="3" s="1"/>
  <c r="M24" i="3"/>
  <c r="I30" i="2"/>
  <c r="F30" i="2"/>
  <c r="J25" i="3" l="1"/>
  <c r="J30" i="2"/>
  <c r="E31" i="2"/>
  <c r="I25" i="3" l="1"/>
  <c r="K25" i="3" s="1"/>
  <c r="L25" i="3"/>
  <c r="F31" i="2"/>
  <c r="I31" i="2"/>
  <c r="E26" i="3" l="1"/>
  <c r="M25" i="3"/>
  <c r="F26" i="3"/>
  <c r="E32" i="2"/>
  <c r="J31" i="2"/>
  <c r="G26" i="3" l="1"/>
  <c r="J26" i="3"/>
  <c r="L26" i="3" s="1"/>
  <c r="I32" i="2"/>
  <c r="F32" i="2"/>
  <c r="I26" i="3" l="1"/>
  <c r="K26" i="3" s="1"/>
  <c r="F27" i="3" s="1"/>
  <c r="J32" i="2"/>
  <c r="E33" i="2"/>
  <c r="E27" i="3" l="1"/>
  <c r="M26" i="3"/>
  <c r="F33" i="2"/>
  <c r="I33" i="2"/>
  <c r="J27" i="3" l="1"/>
  <c r="L27" i="3" s="1"/>
  <c r="G27" i="3"/>
  <c r="I27" i="3" s="1"/>
  <c r="E34" i="2"/>
  <c r="J33" i="2"/>
  <c r="K27" i="3" l="1"/>
  <c r="I34" i="2"/>
  <c r="F34" i="2"/>
  <c r="M27" i="3" l="1"/>
  <c r="E28" i="3"/>
  <c r="F28" i="3"/>
  <c r="J34" i="2"/>
  <c r="E35" i="2"/>
  <c r="J28" i="3" l="1"/>
  <c r="L28" i="3" s="1"/>
  <c r="G28" i="3"/>
  <c r="I35" i="2"/>
  <c r="F35" i="2"/>
  <c r="I28" i="3" l="1"/>
  <c r="K28" i="3" s="1"/>
  <c r="F29" i="3" s="1"/>
  <c r="E36" i="2"/>
  <c r="J35" i="2"/>
  <c r="M28" i="3" l="1"/>
  <c r="E29" i="3"/>
  <c r="I36" i="2"/>
  <c r="F36" i="2"/>
  <c r="J29" i="3" l="1"/>
  <c r="L29" i="3" s="1"/>
  <c r="G29" i="3"/>
  <c r="J36" i="2"/>
  <c r="E37" i="2"/>
  <c r="I29" i="3" l="1"/>
  <c r="K29" i="3" s="1"/>
  <c r="E30" i="3" s="1"/>
  <c r="I37" i="2"/>
  <c r="F37" i="2"/>
  <c r="M29" i="3" l="1"/>
  <c r="F30" i="3"/>
  <c r="E38" i="2"/>
  <c r="J37" i="2"/>
  <c r="J30" i="3" l="1"/>
  <c r="L30" i="3" s="1"/>
  <c r="G30" i="3"/>
  <c r="I38" i="2"/>
  <c r="F38" i="2"/>
  <c r="I30" i="3" l="1"/>
  <c r="K30" i="3" s="1"/>
  <c r="F31" i="3" s="1"/>
  <c r="J38" i="2"/>
  <c r="E39" i="2"/>
  <c r="M30" i="3" l="1"/>
  <c r="E31" i="3"/>
  <c r="I39" i="2"/>
  <c r="F39" i="2"/>
  <c r="J31" i="3" l="1"/>
  <c r="L31" i="3" s="1"/>
  <c r="G31" i="3"/>
  <c r="E40" i="2"/>
  <c r="J39" i="2"/>
  <c r="I31" i="3" l="1"/>
  <c r="K31" i="3" s="1"/>
  <c r="E32" i="3" s="1"/>
  <c r="I40" i="2"/>
  <c r="F40" i="2"/>
  <c r="M31" i="3" l="1"/>
  <c r="F32" i="3"/>
  <c r="J40" i="2"/>
  <c r="E41" i="2"/>
  <c r="J32" i="3" l="1"/>
  <c r="L32" i="3" s="1"/>
  <c r="G32" i="3"/>
  <c r="I32" i="3" s="1"/>
  <c r="I41" i="2"/>
  <c r="F41" i="2"/>
  <c r="K32" i="3" l="1"/>
  <c r="E42" i="2"/>
  <c r="J41" i="2"/>
  <c r="M32" i="3" l="1"/>
  <c r="E33" i="3"/>
  <c r="F33" i="3"/>
  <c r="I42" i="2"/>
  <c r="F42" i="2"/>
  <c r="J33" i="3" l="1"/>
  <c r="L33" i="3" s="1"/>
  <c r="G33" i="3"/>
  <c r="J42" i="2"/>
  <c r="E43" i="2"/>
  <c r="I33" i="3" l="1"/>
  <c r="K33" i="3" s="1"/>
  <c r="E34" i="3" s="1"/>
  <c r="I43" i="2"/>
  <c r="F43" i="2"/>
  <c r="M33" i="3" l="1"/>
  <c r="F34" i="3"/>
  <c r="E44" i="2"/>
  <c r="J43" i="2"/>
  <c r="J34" i="3" l="1"/>
  <c r="L34" i="3" s="1"/>
  <c r="G34" i="3"/>
  <c r="I44" i="2"/>
  <c r="F44" i="2"/>
  <c r="I34" i="3" l="1"/>
  <c r="K34" i="3" s="1"/>
  <c r="F35" i="3" s="1"/>
  <c r="J44" i="2"/>
  <c r="E45" i="2"/>
  <c r="M34" i="3" l="1"/>
  <c r="E35" i="3"/>
  <c r="I45" i="2"/>
  <c r="F45" i="2"/>
  <c r="J35" i="3" l="1"/>
  <c r="L35" i="3" s="1"/>
  <c r="G35" i="3"/>
  <c r="E46" i="2"/>
  <c r="J45" i="2"/>
  <c r="I35" i="3" l="1"/>
  <c r="K35" i="3" s="1"/>
  <c r="E36" i="3" s="1"/>
  <c r="I46" i="2"/>
  <c r="F46" i="2"/>
  <c r="M35" i="3" l="1"/>
  <c r="F36" i="3"/>
  <c r="J46" i="2"/>
  <c r="E47" i="2"/>
  <c r="J36" i="3" l="1"/>
  <c r="G36" i="3"/>
  <c r="I47" i="2"/>
  <c r="F47" i="2"/>
  <c r="L36" i="3" l="1"/>
  <c r="I36" i="3"/>
  <c r="K36" i="3" s="1"/>
  <c r="E37" i="3" s="1"/>
  <c r="E48" i="2"/>
  <c r="J47" i="2"/>
  <c r="M36" i="3" l="1"/>
  <c r="F37" i="3"/>
  <c r="I48" i="2"/>
  <c r="F48" i="2"/>
  <c r="G37" i="3" l="1"/>
  <c r="J37" i="3"/>
  <c r="L37" i="3" s="1"/>
  <c r="J48" i="2"/>
  <c r="E49" i="2"/>
  <c r="I37" i="3" l="1"/>
  <c r="K37" i="3" s="1"/>
  <c r="E38" i="3" s="1"/>
  <c r="I49" i="2"/>
  <c r="F49" i="2"/>
  <c r="M37" i="3" l="1"/>
  <c r="F38" i="3"/>
  <c r="E50" i="2"/>
  <c r="J49" i="2"/>
  <c r="G38" i="3" l="1"/>
  <c r="J38" i="3"/>
  <c r="L38" i="3" s="1"/>
  <c r="I50" i="2"/>
  <c r="F50" i="2"/>
  <c r="I38" i="3" l="1"/>
  <c r="K38" i="3" s="1"/>
  <c r="E39" i="3" s="1"/>
  <c r="J50" i="2"/>
  <c r="E51" i="2"/>
  <c r="M38" i="3" l="1"/>
  <c r="F39" i="3"/>
  <c r="I51" i="2"/>
  <c r="F51" i="2"/>
  <c r="G39" i="3" l="1"/>
  <c r="J39" i="3"/>
  <c r="L39" i="3" s="1"/>
  <c r="E52" i="2"/>
  <c r="J51" i="2"/>
  <c r="I39" i="3" l="1"/>
  <c r="K39" i="3" s="1"/>
  <c r="E40" i="3" s="1"/>
  <c r="I52" i="2"/>
  <c r="F52" i="2"/>
  <c r="M39" i="3" l="1"/>
  <c r="F40" i="3"/>
  <c r="J52" i="2"/>
  <c r="E53" i="2"/>
  <c r="J40" i="3" l="1"/>
  <c r="L40" i="3" s="1"/>
  <c r="G40" i="3"/>
  <c r="I53" i="2"/>
  <c r="F53" i="2"/>
  <c r="I40" i="3" l="1"/>
  <c r="K40" i="3" s="1"/>
  <c r="E41" i="3" s="1"/>
  <c r="E54" i="2"/>
  <c r="J53" i="2"/>
  <c r="M40" i="3" l="1"/>
  <c r="F41" i="3"/>
  <c r="I54" i="2"/>
  <c r="F54" i="2"/>
  <c r="J41" i="3" l="1"/>
  <c r="L41" i="3" s="1"/>
  <c r="G41" i="3"/>
  <c r="J54" i="2"/>
  <c r="E55" i="2"/>
  <c r="I41" i="3" l="1"/>
  <c r="K41" i="3" s="1"/>
  <c r="E42" i="3" s="1"/>
  <c r="I55" i="2"/>
  <c r="F55" i="2"/>
  <c r="M41" i="3" l="1"/>
  <c r="F42" i="3"/>
  <c r="E56" i="2"/>
  <c r="J55" i="2"/>
  <c r="G42" i="3" l="1"/>
  <c r="J42" i="3"/>
  <c r="L42" i="3" s="1"/>
  <c r="I56" i="2"/>
  <c r="F56" i="2"/>
  <c r="I42" i="3" l="1"/>
  <c r="K42" i="3" s="1"/>
  <c r="E43" i="3" s="1"/>
  <c r="J56" i="2"/>
  <c r="E57" i="2"/>
  <c r="M42" i="3" l="1"/>
  <c r="F43" i="3"/>
  <c r="I57" i="2"/>
  <c r="F57" i="2"/>
  <c r="G43" i="3" l="1"/>
  <c r="I43" i="3" s="1"/>
  <c r="J43" i="3"/>
  <c r="L43" i="3" s="1"/>
  <c r="E58" i="2"/>
  <c r="J57" i="2"/>
  <c r="K43" i="3" l="1"/>
  <c r="E44" i="3" s="1"/>
  <c r="I58" i="2"/>
  <c r="F58" i="2"/>
  <c r="M43" i="3" l="1"/>
  <c r="F44" i="3"/>
  <c r="J58" i="2"/>
  <c r="E59" i="2"/>
  <c r="J44" i="3" l="1"/>
  <c r="G44" i="3"/>
  <c r="I59" i="2"/>
  <c r="F59" i="2"/>
  <c r="I44" i="3" l="1"/>
  <c r="K44" i="3" s="1"/>
  <c r="F45" i="3" s="1"/>
  <c r="L44" i="3"/>
  <c r="E60" i="2"/>
  <c r="J59" i="2"/>
  <c r="E45" i="3" l="1"/>
  <c r="M44" i="3"/>
  <c r="I60" i="2"/>
  <c r="F60" i="2"/>
  <c r="J45" i="3" l="1"/>
  <c r="L45" i="3" s="1"/>
  <c r="G45" i="3"/>
  <c r="J60" i="2"/>
  <c r="E61" i="2"/>
  <c r="I45" i="3" l="1"/>
  <c r="K45" i="3" s="1"/>
  <c r="F46" i="3" s="1"/>
  <c r="I61" i="2"/>
  <c r="F61" i="2"/>
  <c r="M45" i="3" l="1"/>
  <c r="E46" i="3"/>
  <c r="E62" i="2"/>
  <c r="J61" i="2"/>
  <c r="J46" i="3" l="1"/>
  <c r="G46" i="3"/>
  <c r="I62" i="2"/>
  <c r="F62" i="2"/>
  <c r="L46" i="3" l="1"/>
  <c r="I46" i="3"/>
  <c r="K46" i="3" s="1"/>
  <c r="F47" i="3" s="1"/>
  <c r="J62" i="2"/>
  <c r="E63" i="2"/>
  <c r="E47" i="3" l="1"/>
  <c r="M46" i="3"/>
  <c r="I63" i="2"/>
  <c r="F63" i="2"/>
  <c r="J47" i="3" l="1"/>
  <c r="G47" i="3"/>
  <c r="E64" i="2"/>
  <c r="J63" i="2"/>
  <c r="L47" i="3" l="1"/>
  <c r="I47" i="3"/>
  <c r="K47" i="3" s="1"/>
  <c r="F48" i="3" s="1"/>
  <c r="I64" i="2"/>
  <c r="F64" i="2"/>
  <c r="M47" i="3" l="1"/>
  <c r="E48" i="3"/>
  <c r="J64" i="2"/>
  <c r="E65" i="2"/>
  <c r="G48" i="3" l="1"/>
  <c r="J48" i="3"/>
  <c r="I65" i="2"/>
  <c r="F65" i="2"/>
  <c r="L48" i="3" l="1"/>
  <c r="I48" i="3"/>
  <c r="K48" i="3" s="1"/>
  <c r="F49" i="3" s="1"/>
  <c r="E66" i="2"/>
  <c r="J65" i="2"/>
  <c r="M48" i="3" l="1"/>
  <c r="E49" i="3"/>
  <c r="I66" i="2"/>
  <c r="F66" i="2"/>
  <c r="J49" i="3" l="1"/>
  <c r="G49" i="3"/>
  <c r="J66" i="2"/>
  <c r="E67" i="2"/>
  <c r="L49" i="3" l="1"/>
  <c r="I49" i="3"/>
  <c r="K49" i="3" s="1"/>
  <c r="F50" i="3" s="1"/>
  <c r="I67" i="2"/>
  <c r="F67" i="2"/>
  <c r="M49" i="3" l="1"/>
  <c r="E50" i="3"/>
  <c r="E68" i="2"/>
  <c r="J67" i="2"/>
  <c r="J50" i="3" l="1"/>
  <c r="G50" i="3"/>
  <c r="I68" i="2"/>
  <c r="F68" i="2"/>
  <c r="L50" i="3" l="1"/>
  <c r="I50" i="3"/>
  <c r="K50" i="3" s="1"/>
  <c r="E51" i="3" s="1"/>
  <c r="J68" i="2"/>
  <c r="E69" i="2"/>
  <c r="M50" i="3" l="1"/>
  <c r="F51" i="3"/>
  <c r="I69" i="2"/>
  <c r="F69" i="2"/>
  <c r="J51" i="3" l="1"/>
  <c r="G51" i="3"/>
  <c r="E70" i="2"/>
  <c r="J69" i="2"/>
  <c r="L51" i="3" l="1"/>
  <c r="I51" i="3"/>
  <c r="K51" i="3" s="1"/>
  <c r="E52" i="3" s="1"/>
  <c r="I70" i="2"/>
  <c r="F70" i="2"/>
  <c r="M51" i="3" l="1"/>
  <c r="F52" i="3"/>
  <c r="J70" i="2"/>
  <c r="E71" i="2"/>
  <c r="G52" i="3" l="1"/>
  <c r="I52" i="3" s="1"/>
  <c r="J52" i="3"/>
  <c r="I71" i="2"/>
  <c r="F71" i="2"/>
  <c r="L52" i="3" l="1"/>
  <c r="K52" i="3"/>
  <c r="F53" i="3" s="1"/>
  <c r="E72" i="2"/>
  <c r="J71" i="2"/>
  <c r="E53" i="3" l="1"/>
  <c r="M52" i="3"/>
  <c r="I72" i="2"/>
  <c r="F72" i="2"/>
  <c r="J53" i="3" l="1"/>
  <c r="L53" i="3" s="1"/>
  <c r="G53" i="3"/>
  <c r="J72" i="2"/>
  <c r="E73" i="2"/>
  <c r="I53" i="3" l="1"/>
  <c r="K53" i="3" s="1"/>
  <c r="F54" i="3" s="1"/>
  <c r="I73" i="2"/>
  <c r="F73" i="2"/>
  <c r="E54" i="3" l="1"/>
  <c r="M53" i="3"/>
  <c r="E74" i="2"/>
  <c r="J73" i="2"/>
  <c r="G54" i="3" l="1"/>
  <c r="I54" i="3" s="1"/>
  <c r="J54" i="3"/>
  <c r="L54" i="3" s="1"/>
  <c r="I74" i="2"/>
  <c r="F74" i="2"/>
  <c r="K54" i="3" l="1"/>
  <c r="F55" i="3" s="1"/>
  <c r="J74" i="2"/>
  <c r="E75" i="2"/>
  <c r="M54" i="3" l="1"/>
  <c r="E55" i="3"/>
  <c r="F75" i="2"/>
  <c r="I75" i="2"/>
  <c r="J55" i="3" l="1"/>
  <c r="G55" i="3"/>
  <c r="I55" i="3" s="1"/>
  <c r="E76" i="2"/>
  <c r="J75" i="2"/>
  <c r="L55" i="3" l="1"/>
  <c r="K55" i="3"/>
  <c r="F56" i="3" s="1"/>
  <c r="I76" i="2"/>
  <c r="F76" i="2"/>
  <c r="E56" i="3" l="1"/>
  <c r="M55" i="3"/>
  <c r="J76" i="2"/>
  <c r="E77" i="2"/>
  <c r="J56" i="3" l="1"/>
  <c r="L56" i="3" s="1"/>
  <c r="G56" i="3"/>
  <c r="I56" i="3" s="1"/>
  <c r="I77" i="2"/>
  <c r="F77" i="2"/>
  <c r="K56" i="3" l="1"/>
  <c r="E57" i="3" s="1"/>
  <c r="E78" i="2"/>
  <c r="J77" i="2"/>
  <c r="M56" i="3" l="1"/>
  <c r="F57" i="3"/>
  <c r="I78" i="2"/>
  <c r="F78" i="2"/>
  <c r="G57" i="3" l="1"/>
  <c r="I57" i="3" s="1"/>
  <c r="J57" i="3"/>
  <c r="L57" i="3" s="1"/>
  <c r="J78" i="2"/>
  <c r="E79" i="2"/>
  <c r="K57" i="3" l="1"/>
  <c r="E58" i="3" s="1"/>
  <c r="I79" i="2"/>
  <c r="F79" i="2"/>
  <c r="F58" i="3" l="1"/>
  <c r="M57" i="3"/>
  <c r="E80" i="2"/>
  <c r="J79" i="2"/>
  <c r="G58" i="3" l="1"/>
  <c r="J58" i="3"/>
  <c r="I80" i="2"/>
  <c r="F80" i="2"/>
  <c r="I58" i="3" l="1"/>
  <c r="K58" i="3" s="1"/>
  <c r="F59" i="3" s="1"/>
  <c r="L58" i="3"/>
  <c r="J80" i="2"/>
  <c r="E81" i="2"/>
  <c r="E59" i="3" l="1"/>
  <c r="M58" i="3"/>
  <c r="I81" i="2"/>
  <c r="F81" i="2"/>
  <c r="G59" i="3" l="1"/>
  <c r="I59" i="3" s="1"/>
  <c r="J59" i="3"/>
  <c r="L59" i="3" s="1"/>
  <c r="E82" i="2"/>
  <c r="J81" i="2"/>
  <c r="K59" i="3" l="1"/>
  <c r="E60" i="3" s="1"/>
  <c r="I82" i="2"/>
  <c r="F82" i="2"/>
  <c r="F60" i="3" l="1"/>
  <c r="M59" i="3"/>
  <c r="J82" i="2"/>
  <c r="E83" i="2"/>
  <c r="J60" i="3" l="1"/>
  <c r="L60" i="3" s="1"/>
  <c r="G60" i="3"/>
  <c r="I60" i="3" s="1"/>
  <c r="I83" i="2"/>
  <c r="F83" i="2"/>
  <c r="K60" i="3" l="1"/>
  <c r="E61" i="3" s="1"/>
  <c r="E84" i="2"/>
  <c r="J83" i="2"/>
  <c r="F61" i="3" l="1"/>
  <c r="M60" i="3"/>
  <c r="I84" i="2"/>
  <c r="F84" i="2"/>
  <c r="G61" i="3" l="1"/>
  <c r="J61" i="3"/>
  <c r="L61" i="3" s="1"/>
  <c r="J84" i="2"/>
  <c r="E85" i="2"/>
  <c r="I61" i="3" l="1"/>
  <c r="K61" i="3" s="1"/>
  <c r="F62" i="3" s="1"/>
  <c r="I85" i="2"/>
  <c r="F85" i="2"/>
  <c r="E62" i="3" l="1"/>
  <c r="M61" i="3"/>
  <c r="E86" i="2"/>
  <c r="J85" i="2"/>
  <c r="G62" i="3" l="1"/>
  <c r="J62" i="3"/>
  <c r="L62" i="3" s="1"/>
  <c r="I86" i="2"/>
  <c r="F86" i="2"/>
  <c r="I62" i="3" l="1"/>
  <c r="K62" i="3" s="1"/>
  <c r="F63" i="3" s="1"/>
  <c r="J86" i="2"/>
  <c r="E87" i="2"/>
  <c r="M62" i="3" l="1"/>
  <c r="E63" i="3"/>
  <c r="I87" i="2"/>
  <c r="F87" i="2"/>
  <c r="G63" i="3" l="1"/>
  <c r="J63" i="3"/>
  <c r="L63" i="3" s="1"/>
  <c r="E88" i="2"/>
  <c r="J87" i="2"/>
  <c r="I63" i="3" l="1"/>
  <c r="K63" i="3" s="1"/>
  <c r="F64" i="3" s="1"/>
  <c r="I88" i="2"/>
  <c r="F88" i="2"/>
  <c r="E64" i="3" l="1"/>
  <c r="M63" i="3"/>
  <c r="J88" i="2"/>
  <c r="E89" i="2"/>
  <c r="G64" i="3" l="1"/>
  <c r="J64" i="3"/>
  <c r="L64" i="3" s="1"/>
  <c r="I89" i="2"/>
  <c r="F89" i="2"/>
  <c r="I64" i="3" l="1"/>
  <c r="K64" i="3" s="1"/>
  <c r="F65" i="3" s="1"/>
  <c r="E90" i="2"/>
  <c r="J89" i="2"/>
  <c r="M64" i="3" l="1"/>
  <c r="E65" i="3"/>
  <c r="I90" i="2"/>
  <c r="F90" i="2"/>
  <c r="J65" i="3" l="1"/>
  <c r="L65" i="3" s="1"/>
  <c r="G65" i="3"/>
  <c r="J90" i="2"/>
  <c r="E91" i="2"/>
  <c r="I65" i="3" l="1"/>
  <c r="K65" i="3" s="1"/>
  <c r="E66" i="3" s="1"/>
  <c r="I91" i="2"/>
  <c r="F91" i="2"/>
  <c r="M65" i="3" l="1"/>
  <c r="F66" i="3"/>
  <c r="E92" i="2"/>
  <c r="J91" i="2"/>
  <c r="G66" i="3" l="1"/>
  <c r="J66" i="3"/>
  <c r="L66" i="3" s="1"/>
  <c r="I92" i="2"/>
  <c r="F92" i="2"/>
  <c r="I66" i="3" l="1"/>
  <c r="K66" i="3" s="1"/>
  <c r="F67" i="3" s="1"/>
  <c r="J92" i="2"/>
  <c r="E93" i="2"/>
  <c r="E67" i="3" l="1"/>
  <c r="M66" i="3"/>
  <c r="I93" i="2"/>
  <c r="F93" i="2"/>
  <c r="G67" i="3" l="1"/>
  <c r="J67" i="3"/>
  <c r="E94" i="2"/>
  <c r="J93" i="2"/>
  <c r="L67" i="3" l="1"/>
  <c r="I67" i="3"/>
  <c r="K67" i="3" s="1"/>
  <c r="E68" i="3" s="1"/>
  <c r="I94" i="2"/>
  <c r="F94" i="2"/>
  <c r="M67" i="3" l="1"/>
  <c r="F68" i="3"/>
  <c r="J94" i="2"/>
  <c r="E95" i="2"/>
  <c r="J68" i="3" l="1"/>
  <c r="G68" i="3"/>
  <c r="I95" i="2"/>
  <c r="F95" i="2"/>
  <c r="I68" i="3" l="1"/>
  <c r="K68" i="3" s="1"/>
  <c r="F69" i="3" s="1"/>
  <c r="L68" i="3"/>
  <c r="E96" i="2"/>
  <c r="J95" i="2"/>
  <c r="M68" i="3" l="1"/>
  <c r="E69" i="3"/>
  <c r="I96" i="2"/>
  <c r="F96" i="2"/>
  <c r="J69" i="3" l="1"/>
  <c r="G69" i="3"/>
  <c r="J96" i="2"/>
  <c r="E97" i="2"/>
  <c r="I69" i="3" l="1"/>
  <c r="K69" i="3" s="1"/>
  <c r="E70" i="3" s="1"/>
  <c r="L69" i="3"/>
  <c r="I97" i="2"/>
  <c r="F97" i="2"/>
  <c r="F70" i="3" l="1"/>
  <c r="M69" i="3"/>
  <c r="E98" i="2"/>
  <c r="J97" i="2"/>
  <c r="G70" i="3" l="1"/>
  <c r="J70" i="3"/>
  <c r="I98" i="2"/>
  <c r="F98" i="2"/>
  <c r="I70" i="3" l="1"/>
  <c r="K70" i="3" s="1"/>
  <c r="F71" i="3" s="1"/>
  <c r="L70" i="3"/>
  <c r="J98" i="2"/>
  <c r="E99" i="2"/>
  <c r="M70" i="3" l="1"/>
  <c r="E71" i="3"/>
  <c r="I99" i="2"/>
  <c r="F99" i="2"/>
  <c r="G71" i="3" l="1"/>
  <c r="I71" i="3" s="1"/>
  <c r="J71" i="3"/>
  <c r="L71" i="3" s="1"/>
  <c r="E100" i="2"/>
  <c r="J99" i="2"/>
  <c r="K71" i="3" l="1"/>
  <c r="I100" i="2"/>
  <c r="F100" i="2"/>
  <c r="E72" i="3" l="1"/>
  <c r="M71" i="3"/>
  <c r="F72" i="3"/>
  <c r="J100" i="2"/>
  <c r="E101" i="2"/>
  <c r="J72" i="3" l="1"/>
  <c r="G72" i="3"/>
  <c r="I101" i="2"/>
  <c r="J101" i="2" s="1"/>
  <c r="F101" i="2"/>
  <c r="L72" i="3" l="1"/>
  <c r="I72" i="3"/>
  <c r="K72" i="3" s="1"/>
  <c r="F73" i="3" s="1"/>
  <c r="M72" i="3" l="1"/>
  <c r="E73" i="3"/>
  <c r="J73" i="3" l="1"/>
  <c r="G73" i="3"/>
  <c r="L73" i="3" l="1"/>
  <c r="I73" i="3"/>
  <c r="K73" i="3" s="1"/>
  <c r="F74" i="3" s="1"/>
  <c r="M73" i="3" l="1"/>
  <c r="E74" i="3"/>
  <c r="J74" i="3" l="1"/>
  <c r="L74" i="3" s="1"/>
  <c r="G74" i="3"/>
  <c r="I74" i="3" l="1"/>
  <c r="K74" i="3" s="1"/>
  <c r="F75" i="3" s="1"/>
  <c r="M74" i="3" l="1"/>
  <c r="E75" i="3"/>
  <c r="J75" i="3" l="1"/>
  <c r="G75" i="3"/>
  <c r="I75" i="3" s="1"/>
  <c r="K75" i="3" l="1"/>
  <c r="L75" i="3"/>
  <c r="M75" i="3" l="1"/>
  <c r="E76" i="3"/>
  <c r="F76" i="3"/>
  <c r="J76" i="3" l="1"/>
  <c r="G76" i="3"/>
  <c r="L76" i="3" l="1"/>
  <c r="I76" i="3"/>
  <c r="K76" i="3" s="1"/>
  <c r="F77" i="3" s="1"/>
  <c r="E77" i="3" l="1"/>
  <c r="M76" i="3"/>
  <c r="G77" i="3" l="1"/>
  <c r="J77" i="3"/>
  <c r="L77" i="3" s="1"/>
  <c r="I77" i="3" l="1"/>
  <c r="K77" i="3" s="1"/>
  <c r="E78" i="3" s="1"/>
  <c r="M77" i="3" l="1"/>
  <c r="F78" i="3"/>
  <c r="G78" i="3" l="1"/>
  <c r="J78" i="3"/>
  <c r="L78" i="3" s="1"/>
  <c r="I78" i="3" l="1"/>
  <c r="K78" i="3" s="1"/>
  <c r="E79" i="3" s="1"/>
  <c r="M78" i="3" l="1"/>
  <c r="F79" i="3"/>
  <c r="J79" i="3" l="1"/>
  <c r="G79" i="3"/>
  <c r="L79" i="3" l="1"/>
  <c r="I79" i="3"/>
  <c r="K79" i="3" s="1"/>
  <c r="E80" i="3" s="1"/>
  <c r="F80" i="3" l="1"/>
  <c r="M79" i="3"/>
  <c r="G80" i="3" l="1"/>
  <c r="J80" i="3"/>
  <c r="I80" i="3" l="1"/>
  <c r="K80" i="3" s="1"/>
  <c r="F81" i="3" s="1"/>
  <c r="L80" i="3"/>
  <c r="M80" i="3" l="1"/>
  <c r="E81" i="3"/>
  <c r="G81" i="3" l="1"/>
  <c r="J81" i="3"/>
  <c r="L81" i="3" s="1"/>
  <c r="I81" i="3" l="1"/>
  <c r="K81" i="3" s="1"/>
  <c r="F82" i="3" s="1"/>
  <c r="M81" i="3" l="1"/>
  <c r="E82" i="3"/>
  <c r="G82" i="3" l="1"/>
  <c r="J82" i="3"/>
  <c r="L82" i="3" s="1"/>
  <c r="I82" i="3" l="1"/>
  <c r="K82" i="3" s="1"/>
  <c r="F83" i="3" s="1"/>
  <c r="M82" i="3" l="1"/>
  <c r="E83" i="3"/>
  <c r="J83" i="3" l="1"/>
  <c r="L83" i="3" s="1"/>
  <c r="G83" i="3"/>
  <c r="I83" i="3" l="1"/>
  <c r="K83" i="3" s="1"/>
  <c r="F84" i="3" s="1"/>
  <c r="M83" i="3" l="1"/>
  <c r="E84" i="3"/>
  <c r="J84" i="3" l="1"/>
  <c r="L84" i="3" s="1"/>
  <c r="G84" i="3"/>
  <c r="I84" i="3" l="1"/>
  <c r="K84" i="3" s="1"/>
  <c r="E85" i="3" s="1"/>
  <c r="M84" i="3" l="1"/>
  <c r="F85" i="3"/>
  <c r="G85" i="3" l="1"/>
  <c r="J85" i="3"/>
  <c r="I85" i="3" l="1"/>
  <c r="K85" i="3" s="1"/>
  <c r="E86" i="3" s="1"/>
  <c r="L85" i="3"/>
  <c r="M85" i="3" l="1"/>
  <c r="F86" i="3"/>
  <c r="G86" i="3" l="1"/>
  <c r="I86" i="3" s="1"/>
  <c r="J86" i="3"/>
  <c r="L86" i="3" s="1"/>
  <c r="K86" i="3" l="1"/>
  <c r="F87" i="3" l="1"/>
  <c r="M86" i="3"/>
  <c r="E87" i="3"/>
  <c r="G87" i="3" l="1"/>
  <c r="I87" i="3" s="1"/>
  <c r="J87" i="3"/>
  <c r="L87" i="3" s="1"/>
  <c r="K87" i="3" l="1"/>
  <c r="E88" i="3" s="1"/>
  <c r="F88" i="3" l="1"/>
  <c r="M87" i="3"/>
  <c r="G88" i="3" l="1"/>
  <c r="I88" i="3" s="1"/>
  <c r="J88" i="3"/>
  <c r="L88" i="3" s="1"/>
  <c r="K88" i="3" l="1"/>
  <c r="F89" i="3" s="1"/>
  <c r="E89" i="3" l="1"/>
  <c r="M88" i="3"/>
  <c r="G89" i="3" l="1"/>
  <c r="I89" i="3" s="1"/>
  <c r="J89" i="3"/>
  <c r="L89" i="3" l="1"/>
  <c r="K89" i="3"/>
  <c r="E90" i="3" s="1"/>
  <c r="F90" i="3" l="1"/>
  <c r="M89" i="3"/>
  <c r="J90" i="3" l="1"/>
  <c r="L90" i="3" s="1"/>
  <c r="G90" i="3"/>
  <c r="I90" i="3" s="1"/>
  <c r="K90" i="3" l="1"/>
  <c r="M90" i="3" s="1"/>
  <c r="E91" i="3" l="1"/>
  <c r="F91" i="3"/>
  <c r="G91" i="3" l="1"/>
  <c r="I91" i="3" s="1"/>
  <c r="J91" i="3"/>
  <c r="L91" i="3" l="1"/>
  <c r="K91" i="3"/>
  <c r="E92" i="3" l="1"/>
  <c r="F92" i="3"/>
  <c r="M91" i="3"/>
  <c r="G92" i="3" l="1"/>
  <c r="I92" i="3" s="1"/>
  <c r="J92" i="3"/>
  <c r="L92" i="3" l="1"/>
  <c r="K92" i="3"/>
  <c r="E93" i="3" s="1"/>
  <c r="M92" i="3" l="1"/>
  <c r="F93" i="3"/>
  <c r="G93" i="3" l="1"/>
  <c r="I93" i="3" s="1"/>
  <c r="J93" i="3"/>
  <c r="L93" i="3" l="1"/>
  <c r="K93" i="3"/>
  <c r="E94" i="3" s="1"/>
  <c r="F94" i="3" l="1"/>
  <c r="M93" i="3"/>
  <c r="J94" i="3" l="1"/>
  <c r="G94" i="3"/>
  <c r="I94" i="3" s="1"/>
  <c r="L94" i="3" l="1"/>
  <c r="K94" i="3"/>
  <c r="E95" i="3" s="1"/>
  <c r="F95" i="3" l="1"/>
  <c r="M94" i="3"/>
  <c r="J95" i="3" l="1"/>
  <c r="G95" i="3"/>
  <c r="I95" i="3" s="1"/>
  <c r="L95" i="3" l="1"/>
  <c r="K95" i="3"/>
  <c r="E96" i="3" s="1"/>
  <c r="M95" i="3" l="1"/>
  <c r="F96" i="3"/>
  <c r="J96" i="3" l="1"/>
  <c r="L96" i="3" s="1"/>
  <c r="G96" i="3"/>
  <c r="I96" i="3" l="1"/>
  <c r="K96" i="3" s="1"/>
  <c r="F97" i="3" s="1"/>
  <c r="E97" i="3" l="1"/>
  <c r="M96" i="3"/>
  <c r="J97" i="3" l="1"/>
  <c r="G97" i="3"/>
  <c r="L97" i="3" l="1"/>
  <c r="I97" i="3"/>
  <c r="K97" i="3" s="1"/>
  <c r="F98" i="3" s="1"/>
  <c r="E98" i="3" l="1"/>
  <c r="M97" i="3"/>
  <c r="J98" i="3" l="1"/>
  <c r="L98" i="3" s="1"/>
  <c r="G98" i="3"/>
  <c r="I98" i="3" s="1"/>
  <c r="K98" i="3" l="1"/>
  <c r="M98" i="3" s="1"/>
  <c r="E99" i="3" l="1"/>
  <c r="F99" i="3"/>
  <c r="G99" i="3" l="1"/>
  <c r="J99" i="3"/>
  <c r="L99" i="3" s="1"/>
  <c r="I99" i="3" l="1"/>
  <c r="K99" i="3" s="1"/>
  <c r="F100" i="3" s="1"/>
  <c r="M99" i="3" l="1"/>
  <c r="E100" i="3"/>
  <c r="J100" i="3" l="1"/>
  <c r="L100" i="3" s="1"/>
  <c r="G100" i="3"/>
  <c r="I100" i="3" l="1"/>
  <c r="K100" i="3" s="1"/>
  <c r="F101" i="3" s="1"/>
  <c r="M100" i="3" l="1"/>
  <c r="E101" i="3"/>
  <c r="G101" i="3" l="1"/>
  <c r="J101" i="3"/>
  <c r="L101" i="3" s="1"/>
  <c r="I101" i="3" l="1"/>
  <c r="K101" i="3" s="1"/>
  <c r="E102" i="3" s="1"/>
  <c r="M101" i="3" l="1"/>
  <c r="F102" i="3"/>
  <c r="J102" i="3" l="1"/>
  <c r="L102" i="3" s="1"/>
  <c r="G102" i="3"/>
  <c r="I102" i="3" l="1"/>
  <c r="K102" i="3" s="1"/>
  <c r="F103" i="3" s="1"/>
  <c r="M102" i="3" l="1"/>
  <c r="E103" i="3"/>
  <c r="J103" i="3" l="1"/>
  <c r="L103" i="3" s="1"/>
  <c r="G103" i="3"/>
  <c r="I103" i="3" s="1"/>
  <c r="K103" i="3" l="1"/>
  <c r="E104" i="3" l="1"/>
  <c r="M103" i="3"/>
  <c r="F104" i="3"/>
  <c r="G104" i="3" l="1"/>
  <c r="I104" i="3" s="1"/>
  <c r="J104" i="3"/>
  <c r="L104" i="3" s="1"/>
  <c r="K104" i="3" l="1"/>
  <c r="E105" i="3" s="1"/>
  <c r="F105" i="3" l="1"/>
  <c r="M104" i="3"/>
  <c r="G105" i="3" l="1"/>
  <c r="I105" i="3" s="1"/>
  <c r="J105" i="3"/>
  <c r="K105" i="3" l="1"/>
  <c r="L105" i="3"/>
  <c r="F106" i="3" l="1"/>
  <c r="M105" i="3"/>
  <c r="E106" i="3"/>
  <c r="J106" i="3" l="1"/>
  <c r="L106" i="3" s="1"/>
  <c r="G106" i="3"/>
  <c r="R6" i="3" l="1"/>
  <c r="L107" i="3"/>
  <c r="S14" i="3"/>
  <c r="R14" i="3"/>
  <c r="R8" i="3"/>
  <c r="R13" i="3"/>
  <c r="R10" i="3"/>
  <c r="S10" i="3" s="1"/>
  <c r="R9" i="3"/>
  <c r="S9" i="3" s="1"/>
  <c r="I106" i="3"/>
  <c r="K106" i="3" s="1"/>
  <c r="M106" i="3" l="1"/>
  <c r="R11" i="3"/>
  <c r="R12" i="3"/>
  <c r="R7" i="3" l="1"/>
  <c r="M107" i="3"/>
</calcChain>
</file>

<file path=xl/sharedStrings.xml><?xml version="1.0" encoding="utf-8"?>
<sst xmlns="http://schemas.openxmlformats.org/spreadsheetml/2006/main" count="120" uniqueCount="97">
  <si>
    <t>Table 2.2 Interarrival and Clock Times</t>
  </si>
  <si>
    <t>Interarrival Time</t>
  </si>
  <si>
    <t>Arrival Time on Clock</t>
  </si>
  <si>
    <t>-</t>
  </si>
  <si>
    <t>Table 2.3 Service Times</t>
  </si>
  <si>
    <t>Service Time</t>
  </si>
  <si>
    <t>Table 2.4 Simulation Table Emphasizing Clock Times</t>
  </si>
  <si>
    <t>A Customer Number</t>
  </si>
  <si>
    <t>B 
Arrival Time (Clock)</t>
    <phoneticPr fontId="2" type="noConversion"/>
  </si>
  <si>
    <t>C 
Time Service Begins (Clock)</t>
    <phoneticPr fontId="2" type="noConversion"/>
  </si>
  <si>
    <t>D 
Service Time (Duration)</t>
    <phoneticPr fontId="2" type="noConversion"/>
  </si>
  <si>
    <t>E 
Time Service Ends (Clock)</t>
    <phoneticPr fontId="2" type="noConversion"/>
  </si>
  <si>
    <t>Table 2.5 Chronological Ordering of Events</t>
  </si>
  <si>
    <t>Event Type</t>
  </si>
  <si>
    <t>Clock Time</t>
  </si>
  <si>
    <t>Customer 
Number</t>
    <phoneticPr fontId="2" type="noConversion"/>
  </si>
  <si>
    <t>고객</t>
    <phoneticPr fontId="3" type="noConversion"/>
  </si>
  <si>
    <t>랜덤넘버1</t>
    <phoneticPr fontId="3" type="noConversion"/>
  </si>
  <si>
    <t>도착간격시간</t>
    <phoneticPr fontId="3" type="noConversion"/>
  </si>
  <si>
    <t>도착시각</t>
    <phoneticPr fontId="3" type="noConversion"/>
  </si>
  <si>
    <t>서비스시작시간</t>
    <phoneticPr fontId="3" type="noConversion"/>
  </si>
  <si>
    <t>대기시간</t>
    <phoneticPr fontId="3" type="noConversion"/>
  </si>
  <si>
    <t>랜덤넘버2</t>
    <phoneticPr fontId="3" type="noConversion"/>
  </si>
  <si>
    <t>서비스시간</t>
    <phoneticPr fontId="3" type="noConversion"/>
  </si>
  <si>
    <t>서비스완료시각</t>
    <phoneticPr fontId="3" type="noConversion"/>
  </si>
  <si>
    <t>시스템에 머문 시간</t>
    <phoneticPr fontId="3" type="noConversion"/>
  </si>
  <si>
    <t>서비스 유휴 시간</t>
    <phoneticPr fontId="3" type="noConversion"/>
  </si>
  <si>
    <t>도착간격시간 분포</t>
    <phoneticPr fontId="3" type="noConversion"/>
  </si>
  <si>
    <t>누적확률</t>
    <phoneticPr fontId="3" type="noConversion"/>
  </si>
  <si>
    <t>확률</t>
    <phoneticPr fontId="3" type="noConversion"/>
  </si>
  <si>
    <t>서비스시간 분포</t>
    <phoneticPr fontId="3" type="noConversion"/>
  </si>
  <si>
    <t xml:space="preserve">평균 대기 시간 (분) </t>
    <phoneticPr fontId="2" type="noConversion"/>
  </si>
  <si>
    <t>대기확률</t>
    <phoneticPr fontId="2" type="noConversion"/>
  </si>
  <si>
    <t>서버 휴식 확률</t>
    <phoneticPr fontId="2" type="noConversion"/>
  </si>
  <si>
    <t>평균 서비스 시간</t>
    <phoneticPr fontId="2" type="noConversion"/>
  </si>
  <si>
    <t>도착들 사이의 평균 시간</t>
    <phoneticPr fontId="2" type="noConversion"/>
  </si>
  <si>
    <t>평균 대기열에서 기다리는 시간(분)</t>
    <phoneticPr fontId="2" type="noConversion"/>
  </si>
  <si>
    <t>고객의 평균 시스템에 머무는 시간</t>
    <phoneticPr fontId="2" type="noConversion"/>
  </si>
  <si>
    <t>Arrival</t>
    <phoneticPr fontId="2" type="noConversion"/>
  </si>
  <si>
    <t>Departure</t>
    <phoneticPr fontId="2" type="noConversion"/>
  </si>
  <si>
    <t>고객 번호</t>
    <phoneticPr fontId="2" type="noConversion"/>
  </si>
  <si>
    <t>난수 1</t>
    <phoneticPr fontId="2" type="noConversion"/>
  </si>
  <si>
    <t>IAT</t>
    <phoneticPr fontId="2" type="noConversion"/>
  </si>
  <si>
    <t>도착시간</t>
    <phoneticPr fontId="2" type="noConversion"/>
  </si>
  <si>
    <t>A 가용시각</t>
    <phoneticPr fontId="2" type="noConversion"/>
  </si>
  <si>
    <t>B 가용시각</t>
    <phoneticPr fontId="2" type="noConversion"/>
  </si>
  <si>
    <t>서버선택</t>
    <phoneticPr fontId="2" type="noConversion"/>
  </si>
  <si>
    <t>난수 2</t>
    <phoneticPr fontId="2" type="noConversion"/>
  </si>
  <si>
    <t>서비스시작</t>
    <phoneticPr fontId="2" type="noConversion"/>
  </si>
  <si>
    <t>서비스완료시각</t>
    <phoneticPr fontId="2" type="noConversion"/>
  </si>
  <si>
    <t>대기시간</t>
    <phoneticPr fontId="2" type="noConversion"/>
  </si>
  <si>
    <t>시스템시간</t>
  </si>
  <si>
    <t>서비스시간</t>
    <phoneticPr fontId="2" type="noConversion"/>
  </si>
  <si>
    <t>고객 100명의 평균 대기시간(Twait)</t>
  </si>
  <si>
    <t>평균 시스템 체류 시간(Tsys)</t>
    <phoneticPr fontId="2" type="noConversion"/>
  </si>
  <si>
    <t>대기시간이 0인 고객 비율(즉시 서비스 받은 비율)</t>
    <phoneticPr fontId="2" type="noConversion"/>
  </si>
  <si>
    <t>고객 대기 시간의 표준편차 및 최대값</t>
    <phoneticPr fontId="2" type="noConversion"/>
  </si>
  <si>
    <t>Able의 서비스 담당 고객 수 및 비율</t>
    <phoneticPr fontId="2" type="noConversion"/>
  </si>
  <si>
    <t>Baker의 서비스 담당 고객 수 및 비율</t>
    <phoneticPr fontId="2" type="noConversion"/>
  </si>
  <si>
    <t>Able의 유효율</t>
    <phoneticPr fontId="2" type="noConversion"/>
  </si>
  <si>
    <t>Baker의 유효율</t>
    <phoneticPr fontId="2" type="noConversion"/>
  </si>
  <si>
    <t>대기시간 3분 이상인 고객 비율(서비스 수준 지표)</t>
    <phoneticPr fontId="2" type="noConversion"/>
  </si>
  <si>
    <t>Bearing Life(Hours)</t>
    <phoneticPr fontId="2" type="noConversion"/>
  </si>
  <si>
    <t>Probability</t>
    <phoneticPr fontId="2" type="noConversion"/>
  </si>
  <si>
    <t>Cummulative Probability</t>
    <phoneticPr fontId="2" type="noConversion"/>
  </si>
  <si>
    <t>Delay Time(Minutes)</t>
    <phoneticPr fontId="2" type="noConversion"/>
  </si>
  <si>
    <t>회차(Set)</t>
    <phoneticPr fontId="2" type="noConversion"/>
  </si>
  <si>
    <t>베어링 1 난수</t>
    <phoneticPr fontId="2" type="noConversion"/>
  </si>
  <si>
    <t>수명 1</t>
    <phoneticPr fontId="2" type="noConversion"/>
  </si>
  <si>
    <t>베어링 2 난수</t>
    <phoneticPr fontId="2" type="noConversion"/>
  </si>
  <si>
    <t>수명 2</t>
    <phoneticPr fontId="2" type="noConversion"/>
  </si>
  <si>
    <t>베어링 3 난수</t>
    <phoneticPr fontId="2" type="noConversion"/>
  </si>
  <si>
    <t>수명 3</t>
    <phoneticPr fontId="2" type="noConversion"/>
  </si>
  <si>
    <t>첫 고장 시간</t>
    <phoneticPr fontId="2" type="noConversion"/>
  </si>
  <si>
    <t>지연 난수</t>
    <phoneticPr fontId="2" type="noConversion"/>
  </si>
  <si>
    <t>지연 시간</t>
    <phoneticPr fontId="2" type="noConversion"/>
  </si>
  <si>
    <t>베어링 비용</t>
    <phoneticPr fontId="2" type="noConversion"/>
  </si>
  <si>
    <t>지연 손실</t>
    <phoneticPr fontId="2" type="noConversion"/>
  </si>
  <si>
    <t>해당 세트 총 비용</t>
    <phoneticPr fontId="2" type="noConversion"/>
  </si>
  <si>
    <t>제안된 방법</t>
    <phoneticPr fontId="2" type="noConversion"/>
  </si>
  <si>
    <t>인건비</t>
    <phoneticPr fontId="2" type="noConversion"/>
  </si>
  <si>
    <t>생산손실</t>
    <phoneticPr fontId="2" type="noConversion"/>
  </si>
  <si>
    <t>현재 방법</t>
    <phoneticPr fontId="2" type="noConversion"/>
  </si>
  <si>
    <t>현재방법 시간 당 총 비용</t>
    <phoneticPr fontId="2" type="noConversion"/>
  </si>
  <si>
    <t>제안된 방법 시간 당 총 비용</t>
  </si>
  <si>
    <t>세 베어링 각각 시간 합 /3</t>
    <phoneticPr fontId="2" type="noConversion"/>
  </si>
  <si>
    <t>비용 절감액 &amp; 절감률</t>
    <phoneticPr fontId="2" type="noConversion"/>
  </si>
  <si>
    <t>베어링 3개의 평균 수명(시간) 및 표준편차</t>
    <phoneticPr fontId="2" type="noConversion"/>
  </si>
  <si>
    <t>수리 기사 지연시간의 평균 및 최빈값</t>
    <phoneticPr fontId="2" type="noConversion"/>
  </si>
  <si>
    <t>전체 가동 중단 시간(분) 합계</t>
    <phoneticPr fontId="2" type="noConversion"/>
  </si>
  <si>
    <t>베어링 수명이 1200시간 미만인 경우의 빈도 및 비율</t>
    <phoneticPr fontId="2" type="noConversion"/>
  </si>
  <si>
    <t>현재</t>
    <phoneticPr fontId="2" type="noConversion"/>
  </si>
  <si>
    <t>제안</t>
    <phoneticPr fontId="2" type="noConversion"/>
  </si>
  <si>
    <t>평균</t>
    <phoneticPr fontId="2" type="noConversion"/>
  </si>
  <si>
    <t>최빈값</t>
    <phoneticPr fontId="2" type="noConversion"/>
  </si>
  <si>
    <t>제안된 방법이 현재방법 시간 당 총 비용보다 적으므로 $0.27 적으므로 제안된 방법을 선택하는 것이 더 효율적이다.(최적해)</t>
    <phoneticPr fontId="2" type="noConversion"/>
  </si>
  <si>
    <t>대기시간 고객수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</si>
</sst>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4" formatCode="\$#,##0;[Red]\$#,##0"/>
    <numFmt numFmtId="185" formatCode="\$#,##0.00;[Red]\$#,##0.00"/>
    <numFmt numFmtId="186" formatCode="#,##0.00;[Red]#,##0.00"/>
  </numFmts>
  <fonts count="5" x14ac:knownFonts="1">
    <font>
      <sz val="11"/>
      <color theme="1"/>
      <name val="맑은 고딕"/>
      <family val="2"/>
      <scheme val="minor"/>
    </font>
    <font>
      <sz val="14"/>
      <color rgb="FF000000"/>
      <name val="Times New Roman"/>
      <family val="1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 readingOrder="1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184" fontId="0" fillId="0" borderId="0" xfId="0" applyNumberFormat="1"/>
    <xf numFmtId="18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5" borderId="1" xfId="0" applyFill="1" applyBorder="1" applyAlignment="1">
      <alignment horizontal="left"/>
    </xf>
    <xf numFmtId="185" fontId="0" fillId="0" borderId="0" xfId="0" applyNumberFormat="1"/>
    <xf numFmtId="185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대기시간에 대한 히스토그램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'10.1'!$Q$17</c:f>
              <c:strCache>
                <c:ptCount val="1"/>
                <c:pt idx="0">
                  <c:v>대기시간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'10.1'!$Q$18:$Q$25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1-413A-8B6D-7A491D4326AC}"/>
            </c:ext>
          </c:extLst>
        </c:ser>
        <c:ser>
          <c:idx val="1"/>
          <c:order val="1"/>
          <c:tx>
            <c:strRef>
              <c:f>'10.1'!$R$17</c:f>
              <c:strCache>
                <c:ptCount val="1"/>
                <c:pt idx="0">
                  <c:v>대기시간 고객수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'10.1'!$R$18:$R$25</c:f>
              <c:numCache>
                <c:formatCode>General</c:formatCode>
                <c:ptCount val="8"/>
                <c:pt idx="0">
                  <c:v>62</c:v>
                </c:pt>
                <c:pt idx="1">
                  <c:v>8</c:v>
                </c:pt>
                <c:pt idx="2">
                  <c:v>14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1-413A-8B6D-7A491D43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99864000"/>
        <c:axId val="299880800"/>
      </c:barChart>
      <c:catAx>
        <c:axId val="29986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880800"/>
        <c:crosses val="autoZero"/>
        <c:auto val="1"/>
        <c:lblAlgn val="ctr"/>
        <c:lblOffset val="100"/>
        <c:noMultiLvlLbl val="0"/>
      </c:catAx>
      <c:valAx>
        <c:axId val="2998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8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267607</xdr:colOff>
      <xdr:row>25</xdr:row>
      <xdr:rowOff>120649</xdr:rowOff>
    </xdr:from>
    <xdr:to>
      <xdr:col>18</xdr:col>
      <xdr:colOff>185964</xdr:colOff>
      <xdr:row>38</xdr:row>
      <xdr:rowOff>33563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76B707-B099-768E-4DA7-3CCCA7AD7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topLeftCell="A4" zoomScaleNormal="100" workbookViewId="0">
      <selection activeCell="F17" sqref="F17"/>
    </sheetView>
  </sheetViews>
  <sheetFormatPr defaultRowHeight="17" x14ac:dyDescent="0.45"/>
  <cols>
    <col min="3" max="3" width="15.83203125" bestFit="1" customWidth="1"/>
    <col min="4" max="4" width="21" bestFit="1" customWidth="1"/>
    <col min="5" max="8" width="12.33203125" bestFit="1" customWidth="1"/>
    <col min="9" max="9" width="12" customWidth="1"/>
    <col min="10" max="10" width="17.83203125" bestFit="1" customWidth="1"/>
    <col min="11" max="11" width="11.08203125" bestFit="1" customWidth="1"/>
  </cols>
  <sheetData>
    <row r="1" spans="2:11" ht="18" x14ac:dyDescent="0.45">
      <c r="B1" s="1" t="s">
        <v>0</v>
      </c>
      <c r="F1" s="1" t="s">
        <v>4</v>
      </c>
    </row>
    <row r="2" spans="2:11" ht="16.5" customHeight="1" x14ac:dyDescent="0.45">
      <c r="B2" s="2"/>
      <c r="C2" s="2" t="s">
        <v>1</v>
      </c>
      <c r="D2" s="2" t="s">
        <v>2</v>
      </c>
      <c r="E2" s="9"/>
      <c r="F2" s="2"/>
      <c r="G2" s="2" t="s">
        <v>5</v>
      </c>
      <c r="H2" s="9"/>
      <c r="I2" s="10" t="s">
        <v>12</v>
      </c>
      <c r="J2" s="9"/>
      <c r="K2" s="9"/>
    </row>
    <row r="3" spans="2:11" ht="16.5" customHeight="1" x14ac:dyDescent="0.45">
      <c r="B3" s="2">
        <v>1</v>
      </c>
      <c r="C3" s="2" t="s">
        <v>3</v>
      </c>
      <c r="D3" s="2">
        <v>0</v>
      </c>
      <c r="E3" s="9"/>
      <c r="F3" s="2">
        <v>1</v>
      </c>
      <c r="G3" s="2">
        <v>2</v>
      </c>
      <c r="H3" s="9"/>
      <c r="I3" s="2" t="s">
        <v>13</v>
      </c>
      <c r="J3" s="3" t="s">
        <v>15</v>
      </c>
      <c r="K3" s="2" t="s">
        <v>14</v>
      </c>
    </row>
    <row r="4" spans="2:11" x14ac:dyDescent="0.45">
      <c r="B4" s="2">
        <v>2</v>
      </c>
      <c r="C4" s="2">
        <v>2</v>
      </c>
      <c r="D4" s="2">
        <v>2</v>
      </c>
      <c r="E4" s="9"/>
      <c r="F4" s="2">
        <v>2</v>
      </c>
      <c r="G4" s="2">
        <v>1</v>
      </c>
      <c r="H4" s="9"/>
      <c r="I4" s="2" t="s">
        <v>38</v>
      </c>
      <c r="J4" s="2">
        <v>1</v>
      </c>
      <c r="K4" s="2">
        <v>0</v>
      </c>
    </row>
    <row r="5" spans="2:11" x14ac:dyDescent="0.45">
      <c r="B5" s="2">
        <v>3</v>
      </c>
      <c r="C5" s="2">
        <v>4</v>
      </c>
      <c r="D5" s="2">
        <v>6</v>
      </c>
      <c r="E5" s="9"/>
      <c r="F5" s="2">
        <v>3</v>
      </c>
      <c r="G5" s="2">
        <v>3</v>
      </c>
      <c r="H5" s="9"/>
      <c r="I5" s="2" t="s">
        <v>39</v>
      </c>
      <c r="J5" s="2">
        <v>1</v>
      </c>
      <c r="K5" s="2">
        <v>2</v>
      </c>
    </row>
    <row r="6" spans="2:11" x14ac:dyDescent="0.45">
      <c r="B6" s="2">
        <v>4</v>
      </c>
      <c r="C6" s="2">
        <v>1</v>
      </c>
      <c r="D6" s="2">
        <v>7</v>
      </c>
      <c r="E6" s="9"/>
      <c r="F6" s="2">
        <v>4</v>
      </c>
      <c r="G6" s="2">
        <v>2</v>
      </c>
      <c r="H6" s="9"/>
      <c r="I6" s="2" t="s">
        <v>38</v>
      </c>
      <c r="J6" s="2">
        <v>2</v>
      </c>
      <c r="K6" s="2">
        <v>2</v>
      </c>
    </row>
    <row r="7" spans="2:11" x14ac:dyDescent="0.45">
      <c r="B7" s="2">
        <v>5</v>
      </c>
      <c r="C7" s="2">
        <v>2</v>
      </c>
      <c r="D7" s="2">
        <v>9</v>
      </c>
      <c r="E7" s="9"/>
      <c r="F7" s="2">
        <v>5</v>
      </c>
      <c r="G7" s="2">
        <v>1</v>
      </c>
      <c r="H7" s="9"/>
      <c r="I7" s="2" t="s">
        <v>39</v>
      </c>
      <c r="J7" s="2">
        <v>2</v>
      </c>
      <c r="K7" s="2">
        <v>3</v>
      </c>
    </row>
    <row r="8" spans="2:11" x14ac:dyDescent="0.45">
      <c r="B8" s="2">
        <v>6</v>
      </c>
      <c r="C8" s="2">
        <v>6</v>
      </c>
      <c r="D8" s="2">
        <v>15</v>
      </c>
      <c r="E8" s="9"/>
      <c r="F8" s="2">
        <v>6</v>
      </c>
      <c r="G8" s="2">
        <v>4</v>
      </c>
      <c r="H8" s="9"/>
      <c r="I8" s="2" t="s">
        <v>38</v>
      </c>
      <c r="J8" s="2">
        <v>3</v>
      </c>
      <c r="K8" s="2">
        <v>6</v>
      </c>
    </row>
    <row r="9" spans="2:11" x14ac:dyDescent="0.45">
      <c r="B9" s="9"/>
      <c r="C9" s="9"/>
      <c r="D9" s="9"/>
      <c r="E9" s="9"/>
      <c r="F9" s="9"/>
      <c r="G9" s="9"/>
      <c r="H9" s="9"/>
      <c r="I9" s="2" t="s">
        <v>38</v>
      </c>
      <c r="J9" s="2">
        <v>4</v>
      </c>
      <c r="K9" s="2">
        <v>7</v>
      </c>
    </row>
    <row r="10" spans="2:11" ht="18" x14ac:dyDescent="0.45">
      <c r="B10" s="10" t="s">
        <v>6</v>
      </c>
      <c r="C10" s="9"/>
      <c r="D10" s="9"/>
      <c r="E10" s="9"/>
      <c r="F10" s="9"/>
      <c r="G10" s="9"/>
      <c r="H10" s="9"/>
      <c r="I10" s="2" t="s">
        <v>39</v>
      </c>
      <c r="J10" s="2">
        <v>3</v>
      </c>
      <c r="K10" s="2">
        <v>9</v>
      </c>
    </row>
    <row r="11" spans="2:11" ht="51" x14ac:dyDescent="0.45"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9"/>
      <c r="H11" s="9"/>
      <c r="I11" s="2" t="s">
        <v>38</v>
      </c>
      <c r="J11" s="2">
        <v>5</v>
      </c>
      <c r="K11" s="2">
        <v>9</v>
      </c>
    </row>
    <row r="12" spans="2:11" x14ac:dyDescent="0.45">
      <c r="B12" s="2">
        <v>1</v>
      </c>
      <c r="C12" s="2" t="s">
        <v>3</v>
      </c>
      <c r="D12" s="2">
        <v>0</v>
      </c>
      <c r="E12" s="2">
        <v>2</v>
      </c>
      <c r="F12" s="2">
        <f>D12+E12</f>
        <v>2</v>
      </c>
      <c r="G12" s="9"/>
      <c r="H12" s="9"/>
      <c r="I12" s="2" t="s">
        <v>39</v>
      </c>
      <c r="J12" s="2">
        <v>4</v>
      </c>
      <c r="K12" s="2">
        <v>11</v>
      </c>
    </row>
    <row r="13" spans="2:11" x14ac:dyDescent="0.45">
      <c r="B13" s="2">
        <v>2</v>
      </c>
      <c r="C13" s="2">
        <v>2</v>
      </c>
      <c r="D13" s="2">
        <f>MAX(C13,F12)</f>
        <v>2</v>
      </c>
      <c r="E13" s="2">
        <v>1</v>
      </c>
      <c r="F13" s="2">
        <f t="shared" ref="F13:F17" si="0">D13+E13</f>
        <v>3</v>
      </c>
      <c r="G13" s="9"/>
      <c r="H13" s="9"/>
      <c r="I13" s="2" t="s">
        <v>39</v>
      </c>
      <c r="J13" s="2">
        <v>5</v>
      </c>
      <c r="K13" s="2">
        <v>12</v>
      </c>
    </row>
    <row r="14" spans="2:11" x14ac:dyDescent="0.45">
      <c r="B14" s="2">
        <v>3</v>
      </c>
      <c r="C14" s="2">
        <v>6</v>
      </c>
      <c r="D14" s="2">
        <f t="shared" ref="D14:D17" si="1">MAX(C14,F13)</f>
        <v>6</v>
      </c>
      <c r="E14" s="2">
        <v>3</v>
      </c>
      <c r="F14" s="2">
        <f t="shared" si="0"/>
        <v>9</v>
      </c>
      <c r="G14" s="9"/>
      <c r="H14" s="9"/>
      <c r="I14" s="2" t="s">
        <v>38</v>
      </c>
      <c r="J14" s="2">
        <v>6</v>
      </c>
      <c r="K14" s="2">
        <v>15</v>
      </c>
    </row>
    <row r="15" spans="2:11" x14ac:dyDescent="0.45">
      <c r="B15" s="2">
        <v>4</v>
      </c>
      <c r="C15" s="2">
        <v>7</v>
      </c>
      <c r="D15" s="2">
        <f t="shared" si="1"/>
        <v>9</v>
      </c>
      <c r="E15" s="2">
        <v>2</v>
      </c>
      <c r="F15" s="2">
        <f t="shared" si="0"/>
        <v>11</v>
      </c>
      <c r="G15" s="9"/>
      <c r="H15" s="9"/>
      <c r="I15" s="2" t="s">
        <v>39</v>
      </c>
      <c r="J15" s="2">
        <v>6</v>
      </c>
      <c r="K15" s="2">
        <v>19</v>
      </c>
    </row>
    <row r="16" spans="2:11" x14ac:dyDescent="0.45">
      <c r="B16" s="2">
        <v>5</v>
      </c>
      <c r="C16" s="2">
        <v>9</v>
      </c>
      <c r="D16" s="2">
        <f t="shared" si="1"/>
        <v>11</v>
      </c>
      <c r="E16" s="2">
        <v>1</v>
      </c>
      <c r="F16" s="2">
        <f t="shared" si="0"/>
        <v>12</v>
      </c>
      <c r="G16" s="9"/>
      <c r="H16" s="9"/>
      <c r="I16" s="9"/>
      <c r="J16" s="9"/>
      <c r="K16" s="9"/>
    </row>
    <row r="17" spans="2:11" x14ac:dyDescent="0.45">
      <c r="B17" s="2">
        <v>6</v>
      </c>
      <c r="C17" s="2">
        <v>15</v>
      </c>
      <c r="D17" s="2">
        <f t="shared" si="1"/>
        <v>15</v>
      </c>
      <c r="E17" s="2">
        <v>4</v>
      </c>
      <c r="F17" s="2">
        <f t="shared" si="0"/>
        <v>19</v>
      </c>
      <c r="G17" s="9"/>
      <c r="H17" s="9"/>
      <c r="I17" s="9"/>
      <c r="J17" s="9"/>
      <c r="K17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FD9C-8B50-4E7A-A067-A27707F853E8}">
  <dimension ref="A1:R102"/>
  <sheetViews>
    <sheetView tabSelected="1" topLeftCell="G16" zoomScale="70" zoomScaleNormal="70" workbookViewId="0">
      <selection activeCell="M34" sqref="M34"/>
    </sheetView>
  </sheetViews>
  <sheetFormatPr defaultRowHeight="17" x14ac:dyDescent="0.45"/>
  <cols>
    <col min="1" max="1" width="5.83203125" customWidth="1"/>
    <col min="2" max="2" width="11.83203125" customWidth="1"/>
    <col min="3" max="3" width="12.33203125" customWidth="1"/>
    <col min="5" max="5" width="14" customWidth="1"/>
    <col min="6" max="6" width="9.58203125" customWidth="1"/>
    <col min="7" max="7" width="12.1640625" customWidth="1"/>
    <col min="8" max="8" width="11.33203125" customWidth="1"/>
    <col min="9" max="9" width="14.58203125" customWidth="1"/>
    <col min="10" max="10" width="17.5" customWidth="1"/>
    <col min="11" max="11" width="14.9140625" customWidth="1"/>
    <col min="13" max="13" width="10.08203125" customWidth="1"/>
    <col min="14" max="14" width="12.1640625" customWidth="1"/>
    <col min="17" max="17" width="33.08203125" bestFit="1" customWidth="1"/>
    <col min="18" max="18" width="19.25" customWidth="1"/>
  </cols>
  <sheetData>
    <row r="1" spans="1:18" x14ac:dyDescent="0.4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5"/>
      <c r="M1" s="6" t="s">
        <v>27</v>
      </c>
      <c r="N1" s="5"/>
      <c r="O1" s="5"/>
      <c r="R1" s="11"/>
    </row>
    <row r="2" spans="1:18" x14ac:dyDescent="0.45">
      <c r="A2" s="7">
        <v>1</v>
      </c>
      <c r="B2" s="7">
        <v>3.88811440456307E-2</v>
      </c>
      <c r="C2" s="7">
        <f>VLOOKUP(B2,$M$3:$N$10, 2)</f>
        <v>1</v>
      </c>
      <c r="D2" s="7">
        <f>C2</f>
        <v>1</v>
      </c>
      <c r="E2" s="7">
        <f>D2</f>
        <v>1</v>
      </c>
      <c r="F2" s="7">
        <v>0</v>
      </c>
      <c r="G2" s="7">
        <v>8.1631720130280638E-2</v>
      </c>
      <c r="H2" s="7">
        <f xml:space="preserve"> VLOOKUP(G2,$M$15:$N$20,2)</f>
        <v>1</v>
      </c>
      <c r="I2" s="7">
        <f>E2+H2</f>
        <v>2</v>
      </c>
      <c r="J2" s="7">
        <f>I2-D2</f>
        <v>1</v>
      </c>
      <c r="K2" s="7">
        <f>D2</f>
        <v>1</v>
      </c>
      <c r="L2" s="5"/>
      <c r="M2" s="7" t="s">
        <v>28</v>
      </c>
      <c r="N2" s="7" t="s">
        <v>18</v>
      </c>
      <c r="O2" s="7" t="s">
        <v>29</v>
      </c>
      <c r="Q2" s="20" t="s">
        <v>31</v>
      </c>
      <c r="R2" s="2">
        <f>AVERAGE(F2:F101)</f>
        <v>0.9</v>
      </c>
    </row>
    <row r="3" spans="1:18" x14ac:dyDescent="0.45">
      <c r="A3" s="7">
        <v>2</v>
      </c>
      <c r="B3" s="7">
        <v>3.88811440456307E-2</v>
      </c>
      <c r="C3" s="7">
        <f xml:space="preserve"> VLOOKUP(B3,$M$3:$N$10, 2)</f>
        <v>1</v>
      </c>
      <c r="D3" s="7">
        <f>D2+C3</f>
        <v>2</v>
      </c>
      <c r="E3" s="7">
        <f>MAX(I2,D3)</f>
        <v>2</v>
      </c>
      <c r="F3" s="7">
        <f>E3-D3</f>
        <v>0</v>
      </c>
      <c r="G3" s="7">
        <v>0.33331445930947234</v>
      </c>
      <c r="H3" s="7">
        <f>VLOOKUP(G3,$M$15:$N$20,2)</f>
        <v>3</v>
      </c>
      <c r="I3" s="13">
        <f>E3+H3</f>
        <v>5</v>
      </c>
      <c r="J3" s="7">
        <f>I3-D3</f>
        <v>3</v>
      </c>
      <c r="K3" s="7">
        <f>MAX(E3-I2,0)</f>
        <v>0</v>
      </c>
      <c r="L3" s="5"/>
      <c r="M3" s="7">
        <v>0</v>
      </c>
      <c r="N3" s="7">
        <v>1</v>
      </c>
      <c r="O3" s="7">
        <v>0.125</v>
      </c>
      <c r="Q3" s="21" t="s">
        <v>32</v>
      </c>
      <c r="R3" s="2">
        <f>COUNTIF(F2:F101, "&gt;0") / 100</f>
        <v>0.38</v>
      </c>
    </row>
    <row r="4" spans="1:18" x14ac:dyDescent="0.45">
      <c r="A4" s="7">
        <v>3</v>
      </c>
      <c r="B4" s="7">
        <v>0.97976233209297992</v>
      </c>
      <c r="C4" s="7">
        <f t="shared" ref="C4" si="0">VLOOKUP(B4,$M$3:$N$10, 2)</f>
        <v>8</v>
      </c>
      <c r="D4" s="7">
        <f t="shared" ref="D4:D67" si="1">D3+C4</f>
        <v>10</v>
      </c>
      <c r="E4" s="7">
        <f t="shared" ref="E4:E67" si="2">MAX(I3,D4)</f>
        <v>10</v>
      </c>
      <c r="F4" s="7">
        <f t="shared" ref="F4:F67" si="3">E4-D4</f>
        <v>0</v>
      </c>
      <c r="G4" s="7">
        <v>0.10234570524941378</v>
      </c>
      <c r="H4" s="7">
        <f t="shared" ref="H4:H67" si="4">VLOOKUP(G4,$M$15:$N$20,2)</f>
        <v>2</v>
      </c>
      <c r="I4" s="7">
        <f t="shared" ref="I4:I67" si="5">E4+H4</f>
        <v>12</v>
      </c>
      <c r="J4" s="7">
        <f t="shared" ref="J4:J67" si="6">I4-D4</f>
        <v>2</v>
      </c>
      <c r="K4" s="7">
        <f t="shared" ref="K4:K67" si="7">MAX(E4-I3,0)</f>
        <v>5</v>
      </c>
      <c r="M4" s="7">
        <f>O3</f>
        <v>0.125</v>
      </c>
      <c r="N4" s="7">
        <v>2</v>
      </c>
      <c r="O4" s="7">
        <v>0.125</v>
      </c>
      <c r="Q4" s="21" t="s">
        <v>33</v>
      </c>
      <c r="R4" s="14">
        <f>SUM(K2:K101) / I101</f>
        <v>0.27674418604651163</v>
      </c>
    </row>
    <row r="5" spans="1:18" x14ac:dyDescent="0.45">
      <c r="A5" s="7">
        <v>4</v>
      </c>
      <c r="B5" s="7">
        <v>0.74089112822825109</v>
      </c>
      <c r="C5" s="7">
        <f t="shared" ref="C5" si="8" xml:space="preserve"> VLOOKUP(B5,$M$3:$N$10, 2)</f>
        <v>6</v>
      </c>
      <c r="D5" s="7">
        <f t="shared" si="1"/>
        <v>16</v>
      </c>
      <c r="E5" s="7">
        <f t="shared" si="2"/>
        <v>16</v>
      </c>
      <c r="F5" s="7">
        <f t="shared" si="3"/>
        <v>0</v>
      </c>
      <c r="G5" s="7">
        <v>0.49397166905357093</v>
      </c>
      <c r="H5" s="7">
        <f t="shared" si="4"/>
        <v>3</v>
      </c>
      <c r="I5" s="13">
        <f t="shared" si="5"/>
        <v>19</v>
      </c>
      <c r="J5" s="7">
        <f t="shared" si="6"/>
        <v>3</v>
      </c>
      <c r="K5" s="7">
        <f t="shared" si="7"/>
        <v>4</v>
      </c>
      <c r="L5" s="5"/>
      <c r="M5" s="7">
        <f t="shared" ref="M5:M11" si="9">M4+O4</f>
        <v>0.25</v>
      </c>
      <c r="N5" s="7">
        <v>3</v>
      </c>
      <c r="O5" s="7">
        <v>0.125</v>
      </c>
      <c r="Q5" s="21" t="s">
        <v>34</v>
      </c>
      <c r="R5" s="2">
        <f>AVERAGE(H2:H101)</f>
        <v>3.11</v>
      </c>
    </row>
    <row r="6" spans="1:18" x14ac:dyDescent="0.45">
      <c r="A6" s="7">
        <v>5</v>
      </c>
      <c r="B6" s="7">
        <v>0.28000604535545637</v>
      </c>
      <c r="C6" s="7">
        <f t="shared" ref="C6" si="10">VLOOKUP(B6,$M$3:$N$10, 2)</f>
        <v>3</v>
      </c>
      <c r="D6" s="7">
        <f t="shared" si="1"/>
        <v>19</v>
      </c>
      <c r="E6" s="7">
        <f t="shared" si="2"/>
        <v>19</v>
      </c>
      <c r="F6" s="7">
        <f t="shared" si="3"/>
        <v>0</v>
      </c>
      <c r="G6" s="7">
        <v>0.13371140682685345</v>
      </c>
      <c r="H6" s="7">
        <f t="shared" si="4"/>
        <v>2</v>
      </c>
      <c r="I6" s="7">
        <f t="shared" si="5"/>
        <v>21</v>
      </c>
      <c r="J6" s="7">
        <f t="shared" si="6"/>
        <v>2</v>
      </c>
      <c r="K6" s="7">
        <f t="shared" si="7"/>
        <v>0</v>
      </c>
      <c r="L6" s="5"/>
      <c r="M6" s="7">
        <f t="shared" si="9"/>
        <v>0.375</v>
      </c>
      <c r="N6" s="7">
        <v>4</v>
      </c>
      <c r="O6" s="7">
        <v>0.125</v>
      </c>
      <c r="Q6" s="21" t="s">
        <v>35</v>
      </c>
      <c r="R6" s="14">
        <f>AVERAGE(C2:C101)</f>
        <v>4.2699999999999996</v>
      </c>
    </row>
    <row r="7" spans="1:18" x14ac:dyDescent="0.45">
      <c r="A7" s="7">
        <v>6</v>
      </c>
      <c r="B7" s="7">
        <v>0.42438597721506566</v>
      </c>
      <c r="C7" s="7">
        <f t="shared" ref="C7" si="11" xml:space="preserve"> VLOOKUP(B7,$M$3:$N$10, 2)</f>
        <v>4</v>
      </c>
      <c r="D7" s="7">
        <f t="shared" si="1"/>
        <v>23</v>
      </c>
      <c r="E7" s="7">
        <f t="shared" si="2"/>
        <v>23</v>
      </c>
      <c r="F7" s="7">
        <f t="shared" si="3"/>
        <v>0</v>
      </c>
      <c r="G7" s="7">
        <v>0.86037910470860945</v>
      </c>
      <c r="H7" s="7">
        <f t="shared" si="4"/>
        <v>5</v>
      </c>
      <c r="I7" s="13">
        <f t="shared" si="5"/>
        <v>28</v>
      </c>
      <c r="J7" s="7">
        <f t="shared" si="6"/>
        <v>5</v>
      </c>
      <c r="K7" s="7">
        <f t="shared" si="7"/>
        <v>2</v>
      </c>
      <c r="L7" s="5"/>
      <c r="M7" s="7">
        <f t="shared" si="9"/>
        <v>0.5</v>
      </c>
      <c r="N7" s="7">
        <v>5</v>
      </c>
      <c r="O7" s="7">
        <v>0.125</v>
      </c>
      <c r="Q7" s="21" t="s">
        <v>36</v>
      </c>
      <c r="R7" s="2">
        <f>AVERAGE(F2:F101)</f>
        <v>0.9</v>
      </c>
    </row>
    <row r="8" spans="1:18" x14ac:dyDescent="0.45">
      <c r="A8" s="7">
        <v>7</v>
      </c>
      <c r="B8" s="7">
        <v>0.2775838682082048</v>
      </c>
      <c r="C8" s="7">
        <f t="shared" ref="C8" si="12">VLOOKUP(B8,$M$3:$N$10, 2)</f>
        <v>3</v>
      </c>
      <c r="D8" s="7">
        <f t="shared" si="1"/>
        <v>26</v>
      </c>
      <c r="E8" s="7">
        <f t="shared" si="2"/>
        <v>28</v>
      </c>
      <c r="F8" s="7">
        <f t="shared" si="3"/>
        <v>2</v>
      </c>
      <c r="G8" s="7">
        <v>0.21185328513106605</v>
      </c>
      <c r="H8" s="7">
        <f t="shared" si="4"/>
        <v>2</v>
      </c>
      <c r="I8" s="7">
        <f t="shared" si="5"/>
        <v>30</v>
      </c>
      <c r="J8" s="7">
        <f t="shared" si="6"/>
        <v>4</v>
      </c>
      <c r="K8" s="7">
        <f t="shared" si="7"/>
        <v>0</v>
      </c>
      <c r="L8" s="12"/>
      <c r="M8" s="7">
        <f t="shared" si="9"/>
        <v>0.625</v>
      </c>
      <c r="N8" s="7">
        <v>6</v>
      </c>
      <c r="O8" s="7">
        <v>0.125</v>
      </c>
      <c r="Q8" s="21" t="s">
        <v>37</v>
      </c>
      <c r="R8" s="2">
        <f>AVERAGE(J2:J101)</f>
        <v>4.01</v>
      </c>
    </row>
    <row r="9" spans="1:18" x14ac:dyDescent="0.45">
      <c r="A9" s="7">
        <v>8</v>
      </c>
      <c r="B9" s="7">
        <v>0.11529046078740313</v>
      </c>
      <c r="C9" s="7">
        <f t="shared" ref="C9" si="13" xml:space="preserve"> VLOOKUP(B9,$M$3:$N$10, 2)</f>
        <v>1</v>
      </c>
      <c r="D9" s="7">
        <f t="shared" si="1"/>
        <v>27</v>
      </c>
      <c r="E9" s="7">
        <f t="shared" si="2"/>
        <v>30</v>
      </c>
      <c r="F9" s="7">
        <f t="shared" si="3"/>
        <v>3</v>
      </c>
      <c r="G9" s="7">
        <v>0.84030839490135234</v>
      </c>
      <c r="H9" s="7">
        <f t="shared" si="4"/>
        <v>4</v>
      </c>
      <c r="I9" s="13">
        <f t="shared" si="5"/>
        <v>34</v>
      </c>
      <c r="J9" s="7">
        <f t="shared" si="6"/>
        <v>7</v>
      </c>
      <c r="K9" s="7">
        <f t="shared" si="7"/>
        <v>0</v>
      </c>
      <c r="L9" s="5"/>
      <c r="M9" s="7">
        <f t="shared" si="9"/>
        <v>0.75</v>
      </c>
      <c r="N9" s="7">
        <v>7</v>
      </c>
      <c r="O9" s="7">
        <v>0.125</v>
      </c>
    </row>
    <row r="10" spans="1:18" x14ac:dyDescent="0.45">
      <c r="A10" s="7">
        <v>9</v>
      </c>
      <c r="B10" s="7">
        <v>0.20694945204167936</v>
      </c>
      <c r="C10" s="7">
        <f t="shared" ref="C10" si="14">VLOOKUP(B10,$M$3:$N$10, 2)</f>
        <v>2</v>
      </c>
      <c r="D10" s="7">
        <f t="shared" si="1"/>
        <v>29</v>
      </c>
      <c r="E10" s="7">
        <f t="shared" si="2"/>
        <v>34</v>
      </c>
      <c r="F10" s="7">
        <f t="shared" si="3"/>
        <v>5</v>
      </c>
      <c r="G10" s="7">
        <v>0.18010627547202551</v>
      </c>
      <c r="H10" s="7">
        <f t="shared" si="4"/>
        <v>2</v>
      </c>
      <c r="I10" s="7">
        <f t="shared" si="5"/>
        <v>36</v>
      </c>
      <c r="J10" s="7">
        <f t="shared" si="6"/>
        <v>7</v>
      </c>
      <c r="K10" s="7">
        <f t="shared" si="7"/>
        <v>0</v>
      </c>
      <c r="L10" s="5"/>
      <c r="M10" s="7">
        <f t="shared" si="9"/>
        <v>0.875</v>
      </c>
      <c r="N10" s="7">
        <v>8</v>
      </c>
      <c r="O10" s="7">
        <v>0.125</v>
      </c>
    </row>
    <row r="11" spans="1:18" x14ac:dyDescent="0.45">
      <c r="A11" s="7">
        <v>10</v>
      </c>
      <c r="B11" s="7">
        <v>0.21935324980179172</v>
      </c>
      <c r="C11" s="7">
        <f t="shared" ref="C11" si="15" xml:space="preserve"> VLOOKUP(B11,$M$3:$N$10, 2)</f>
        <v>2</v>
      </c>
      <c r="D11" s="7">
        <f t="shared" si="1"/>
        <v>31</v>
      </c>
      <c r="E11" s="7">
        <f t="shared" si="2"/>
        <v>36</v>
      </c>
      <c r="F11" s="7">
        <f t="shared" si="3"/>
        <v>5</v>
      </c>
      <c r="G11" s="7">
        <v>7.0427197954412102E-2</v>
      </c>
      <c r="H11" s="7">
        <f t="shared" si="4"/>
        <v>1</v>
      </c>
      <c r="I11" s="13">
        <f t="shared" si="5"/>
        <v>37</v>
      </c>
      <c r="J11" s="7">
        <f t="shared" si="6"/>
        <v>6</v>
      </c>
      <c r="K11" s="7">
        <f t="shared" si="7"/>
        <v>0</v>
      </c>
      <c r="L11" s="5"/>
      <c r="M11" s="7">
        <f t="shared" si="9"/>
        <v>1</v>
      </c>
      <c r="N11" s="5"/>
      <c r="O11" s="5"/>
    </row>
    <row r="12" spans="1:18" x14ac:dyDescent="0.45">
      <c r="A12" s="7">
        <v>11</v>
      </c>
      <c r="B12" s="7">
        <v>0.13862054728751982</v>
      </c>
      <c r="C12" s="7">
        <f t="shared" ref="C12" si="16">VLOOKUP(B12,$M$3:$N$10, 2)</f>
        <v>2</v>
      </c>
      <c r="D12" s="7">
        <f t="shared" si="1"/>
        <v>33</v>
      </c>
      <c r="E12" s="7">
        <f t="shared" si="2"/>
        <v>37</v>
      </c>
      <c r="F12" s="7">
        <f t="shared" si="3"/>
        <v>4</v>
      </c>
      <c r="G12" s="7">
        <v>0.57384240440967094</v>
      </c>
      <c r="H12" s="7">
        <f t="shared" si="4"/>
        <v>3</v>
      </c>
      <c r="I12" s="7">
        <f t="shared" si="5"/>
        <v>40</v>
      </c>
      <c r="J12" s="7">
        <f t="shared" si="6"/>
        <v>7</v>
      </c>
      <c r="K12" s="7">
        <f t="shared" si="7"/>
        <v>0</v>
      </c>
      <c r="L12" s="5"/>
      <c r="M12" s="5"/>
      <c r="N12" s="5"/>
      <c r="O12" s="5"/>
    </row>
    <row r="13" spans="1:18" x14ac:dyDescent="0.45">
      <c r="A13" s="7">
        <v>12</v>
      </c>
      <c r="B13" s="7">
        <v>0.74527215639556743</v>
      </c>
      <c r="C13" s="7">
        <f t="shared" ref="C13" si="17" xml:space="preserve"> VLOOKUP(B13,$M$3:$N$10, 2)</f>
        <v>6</v>
      </c>
      <c r="D13" s="7">
        <f t="shared" si="1"/>
        <v>39</v>
      </c>
      <c r="E13" s="7">
        <f t="shared" si="2"/>
        <v>40</v>
      </c>
      <c r="F13" s="7">
        <f t="shared" si="3"/>
        <v>1</v>
      </c>
      <c r="G13" s="7">
        <v>0.78336862419720577</v>
      </c>
      <c r="H13" s="7">
        <f t="shared" si="4"/>
        <v>4</v>
      </c>
      <c r="I13" s="13">
        <f t="shared" si="5"/>
        <v>44</v>
      </c>
      <c r="J13" s="7">
        <f t="shared" si="6"/>
        <v>5</v>
      </c>
      <c r="K13" s="7">
        <f t="shared" si="7"/>
        <v>0</v>
      </c>
      <c r="L13" s="5"/>
      <c r="M13" s="6" t="s">
        <v>30</v>
      </c>
      <c r="N13" s="5"/>
      <c r="O13" s="5"/>
    </row>
    <row r="14" spans="1:18" x14ac:dyDescent="0.45">
      <c r="A14" s="7">
        <v>13</v>
      </c>
      <c r="B14" s="7">
        <v>0.45988468367643409</v>
      </c>
      <c r="C14" s="7">
        <f t="shared" ref="C14" si="18">VLOOKUP(B14,$M$3:$N$10, 2)</f>
        <v>4</v>
      </c>
      <c r="D14" s="7">
        <f t="shared" si="1"/>
        <v>43</v>
      </c>
      <c r="E14" s="7">
        <f t="shared" si="2"/>
        <v>44</v>
      </c>
      <c r="F14" s="7">
        <f t="shared" si="3"/>
        <v>1</v>
      </c>
      <c r="G14" s="7">
        <v>0.17030994204169847</v>
      </c>
      <c r="H14" s="7">
        <f t="shared" si="4"/>
        <v>2</v>
      </c>
      <c r="I14" s="7">
        <f t="shared" si="5"/>
        <v>46</v>
      </c>
      <c r="J14" s="7">
        <f t="shared" si="6"/>
        <v>3</v>
      </c>
      <c r="K14" s="7">
        <f t="shared" si="7"/>
        <v>0</v>
      </c>
      <c r="L14" s="5"/>
      <c r="M14" s="7" t="s">
        <v>28</v>
      </c>
      <c r="N14" s="7" t="s">
        <v>23</v>
      </c>
      <c r="O14" s="7" t="s">
        <v>29</v>
      </c>
    </row>
    <row r="15" spans="1:18" x14ac:dyDescent="0.45">
      <c r="A15" s="7">
        <v>14</v>
      </c>
      <c r="B15" s="7">
        <v>0.51877149825076141</v>
      </c>
      <c r="C15" s="7">
        <f t="shared" ref="C15" si="19" xml:space="preserve"> VLOOKUP(B15,$M$3:$N$10, 2)</f>
        <v>5</v>
      </c>
      <c r="D15" s="7">
        <f t="shared" si="1"/>
        <v>48</v>
      </c>
      <c r="E15" s="7">
        <f t="shared" si="2"/>
        <v>48</v>
      </c>
      <c r="F15" s="7">
        <f t="shared" si="3"/>
        <v>0</v>
      </c>
      <c r="G15" s="7">
        <v>0.62957844011383712</v>
      </c>
      <c r="H15" s="7">
        <f t="shared" si="4"/>
        <v>4</v>
      </c>
      <c r="I15" s="13">
        <f t="shared" si="5"/>
        <v>52</v>
      </c>
      <c r="J15" s="7">
        <f t="shared" si="6"/>
        <v>4</v>
      </c>
      <c r="K15" s="7">
        <f t="shared" si="7"/>
        <v>2</v>
      </c>
      <c r="L15" s="5"/>
      <c r="M15" s="7">
        <v>0</v>
      </c>
      <c r="N15" s="7">
        <v>1</v>
      </c>
      <c r="O15" s="7">
        <v>0.1</v>
      </c>
    </row>
    <row r="16" spans="1:18" x14ac:dyDescent="0.45">
      <c r="A16" s="7">
        <v>15</v>
      </c>
      <c r="B16" s="7">
        <v>0.8226004302636889</v>
      </c>
      <c r="C16" s="7">
        <f t="shared" ref="C16" si="20">VLOOKUP(B16,$M$3:$N$10, 2)</f>
        <v>7</v>
      </c>
      <c r="D16" s="7">
        <f t="shared" si="1"/>
        <v>55</v>
      </c>
      <c r="E16" s="7">
        <f t="shared" si="2"/>
        <v>55</v>
      </c>
      <c r="F16" s="7">
        <f t="shared" si="3"/>
        <v>0</v>
      </c>
      <c r="G16" s="7">
        <v>0.92239876041746172</v>
      </c>
      <c r="H16" s="7">
        <f t="shared" si="4"/>
        <v>5</v>
      </c>
      <c r="I16" s="7">
        <f t="shared" si="5"/>
        <v>60</v>
      </c>
      <c r="J16" s="7">
        <f t="shared" si="6"/>
        <v>5</v>
      </c>
      <c r="K16" s="7">
        <f t="shared" si="7"/>
        <v>3</v>
      </c>
      <c r="L16" s="5"/>
      <c r="M16" s="7">
        <f>O15</f>
        <v>0.1</v>
      </c>
      <c r="N16" s="7">
        <v>2</v>
      </c>
      <c r="O16" s="7">
        <v>0.2</v>
      </c>
    </row>
    <row r="17" spans="1:18" x14ac:dyDescent="0.45">
      <c r="A17" s="7">
        <v>16</v>
      </c>
      <c r="B17" s="7">
        <v>0.59100848839893871</v>
      </c>
      <c r="C17" s="7">
        <f t="shared" ref="C17" si="21" xml:space="preserve"> VLOOKUP(B17,$M$3:$N$10, 2)</f>
        <v>5</v>
      </c>
      <c r="D17" s="7">
        <f t="shared" si="1"/>
        <v>60</v>
      </c>
      <c r="E17" s="7">
        <f t="shared" si="2"/>
        <v>60</v>
      </c>
      <c r="F17" s="7">
        <f t="shared" si="3"/>
        <v>0</v>
      </c>
      <c r="G17" s="7">
        <v>0.27993474599876189</v>
      </c>
      <c r="H17" s="7">
        <f t="shared" si="4"/>
        <v>2</v>
      </c>
      <c r="I17" s="13">
        <f t="shared" si="5"/>
        <v>62</v>
      </c>
      <c r="J17" s="7">
        <f t="shared" si="6"/>
        <v>2</v>
      </c>
      <c r="K17" s="7">
        <f t="shared" si="7"/>
        <v>0</v>
      </c>
      <c r="L17" s="5"/>
      <c r="M17" s="7">
        <f>M16+O16</f>
        <v>0.30000000000000004</v>
      </c>
      <c r="N17" s="7">
        <v>3</v>
      </c>
      <c r="O17" s="7">
        <v>0.3</v>
      </c>
      <c r="Q17" t="s">
        <v>50</v>
      </c>
      <c r="R17" t="s">
        <v>96</v>
      </c>
    </row>
    <row r="18" spans="1:18" x14ac:dyDescent="0.45">
      <c r="A18" s="7">
        <v>17</v>
      </c>
      <c r="B18" s="7">
        <v>0.59201083628574769</v>
      </c>
      <c r="C18" s="7">
        <f t="shared" ref="C18" si="22">VLOOKUP(B18,$M$3:$N$10, 2)</f>
        <v>5</v>
      </c>
      <c r="D18" s="7">
        <f t="shared" si="1"/>
        <v>65</v>
      </c>
      <c r="E18" s="7">
        <f t="shared" si="2"/>
        <v>65</v>
      </c>
      <c r="F18" s="7">
        <f t="shared" si="3"/>
        <v>0</v>
      </c>
      <c r="G18" s="7">
        <v>0.51493965920448803</v>
      </c>
      <c r="H18" s="7">
        <f t="shared" si="4"/>
        <v>3</v>
      </c>
      <c r="I18" s="7">
        <f t="shared" si="5"/>
        <v>68</v>
      </c>
      <c r="J18" s="7">
        <f t="shared" si="6"/>
        <v>3</v>
      </c>
      <c r="K18" s="7">
        <f t="shared" si="7"/>
        <v>3</v>
      </c>
      <c r="L18" s="5"/>
      <c r="M18" s="7">
        <f>M17+O17</f>
        <v>0.60000000000000009</v>
      </c>
      <c r="N18" s="7">
        <v>4</v>
      </c>
      <c r="O18" s="7">
        <v>0.25</v>
      </c>
      <c r="Q18">
        <v>0</v>
      </c>
      <c r="R18">
        <f>COUNTIF(F2:F101,0)</f>
        <v>62</v>
      </c>
    </row>
    <row r="19" spans="1:18" x14ac:dyDescent="0.45">
      <c r="A19" s="7">
        <v>18</v>
      </c>
      <c r="B19" s="7">
        <v>0.51545383504753595</v>
      </c>
      <c r="C19" s="7">
        <f t="shared" ref="C19" si="23" xml:space="preserve"> VLOOKUP(B19,$M$3:$N$10, 2)</f>
        <v>5</v>
      </c>
      <c r="D19" s="7">
        <f t="shared" si="1"/>
        <v>70</v>
      </c>
      <c r="E19" s="7">
        <f t="shared" si="2"/>
        <v>70</v>
      </c>
      <c r="F19" s="7">
        <f t="shared" si="3"/>
        <v>0</v>
      </c>
      <c r="G19" s="7">
        <v>0.14630519405500886</v>
      </c>
      <c r="H19" s="7">
        <f t="shared" si="4"/>
        <v>2</v>
      </c>
      <c r="I19" s="13">
        <f t="shared" si="5"/>
        <v>72</v>
      </c>
      <c r="J19" s="7">
        <f t="shared" si="6"/>
        <v>2</v>
      </c>
      <c r="K19" s="7">
        <f t="shared" si="7"/>
        <v>2</v>
      </c>
      <c r="L19" s="5"/>
      <c r="M19" s="7">
        <f>M18+O18</f>
        <v>0.85000000000000009</v>
      </c>
      <c r="N19" s="7">
        <v>5</v>
      </c>
      <c r="O19" s="7">
        <v>0.1</v>
      </c>
      <c r="Q19">
        <v>1</v>
      </c>
      <c r="R19">
        <f>COUNTIF(F2:F101,1)</f>
        <v>8</v>
      </c>
    </row>
    <row r="20" spans="1:18" x14ac:dyDescent="0.45">
      <c r="A20" s="7">
        <v>19</v>
      </c>
      <c r="B20" s="7">
        <v>0.23484771363642676</v>
      </c>
      <c r="C20" s="7">
        <f t="shared" ref="C20" si="24">VLOOKUP(B20,$M$3:$N$10, 2)</f>
        <v>2</v>
      </c>
      <c r="D20" s="7">
        <f t="shared" si="1"/>
        <v>72</v>
      </c>
      <c r="E20" s="7">
        <f t="shared" si="2"/>
        <v>72</v>
      </c>
      <c r="F20" s="7">
        <f t="shared" si="3"/>
        <v>0</v>
      </c>
      <c r="G20" s="7">
        <v>0.95427015940649884</v>
      </c>
      <c r="H20" s="7">
        <f t="shared" si="4"/>
        <v>6</v>
      </c>
      <c r="I20" s="7">
        <f t="shared" si="5"/>
        <v>78</v>
      </c>
      <c r="J20" s="7">
        <f t="shared" si="6"/>
        <v>6</v>
      </c>
      <c r="K20" s="7">
        <f t="shared" si="7"/>
        <v>0</v>
      </c>
      <c r="L20" s="5"/>
      <c r="M20" s="7">
        <f>M19+O19</f>
        <v>0.95000000000000007</v>
      </c>
      <c r="N20" s="7">
        <v>6</v>
      </c>
      <c r="O20" s="7">
        <v>0.05</v>
      </c>
      <c r="Q20">
        <v>2</v>
      </c>
      <c r="R20">
        <f>COUNTIF(F2:F101,2)</f>
        <v>14</v>
      </c>
    </row>
    <row r="21" spans="1:18" x14ac:dyDescent="0.45">
      <c r="A21" s="7">
        <v>20</v>
      </c>
      <c r="B21" s="7">
        <v>0.73941996510204699</v>
      </c>
      <c r="C21" s="7">
        <f t="shared" ref="C21" si="25" xml:space="preserve"> VLOOKUP(B21,$M$3:$N$10, 2)</f>
        <v>6</v>
      </c>
      <c r="D21" s="7">
        <f t="shared" si="1"/>
        <v>78</v>
      </c>
      <c r="E21" s="7">
        <f t="shared" si="2"/>
        <v>78</v>
      </c>
      <c r="F21" s="7">
        <f t="shared" si="3"/>
        <v>0</v>
      </c>
      <c r="G21" s="7">
        <v>0.78927301480208611</v>
      </c>
      <c r="H21" s="7">
        <f t="shared" si="4"/>
        <v>4</v>
      </c>
      <c r="I21" s="13">
        <f t="shared" si="5"/>
        <v>82</v>
      </c>
      <c r="J21" s="7">
        <f t="shared" si="6"/>
        <v>4</v>
      </c>
      <c r="K21" s="7">
        <f t="shared" si="7"/>
        <v>0</v>
      </c>
      <c r="L21" s="5"/>
      <c r="M21" s="7">
        <f>M20+O20</f>
        <v>1</v>
      </c>
      <c r="N21" s="5"/>
      <c r="O21" s="5"/>
      <c r="Q21">
        <v>3</v>
      </c>
      <c r="R21">
        <f>COUNTIF(F2:F101,3)</f>
        <v>12</v>
      </c>
    </row>
    <row r="22" spans="1:18" x14ac:dyDescent="0.45">
      <c r="A22" s="8">
        <v>21</v>
      </c>
      <c r="B22" s="7">
        <v>0.82484346942320186</v>
      </c>
      <c r="C22" s="7">
        <f t="shared" ref="C22" si="26">VLOOKUP(B22,$M$3:$N$10, 2)</f>
        <v>7</v>
      </c>
      <c r="D22" s="7">
        <f t="shared" si="1"/>
        <v>85</v>
      </c>
      <c r="E22" s="7">
        <f t="shared" si="2"/>
        <v>85</v>
      </c>
      <c r="F22" s="7">
        <f t="shared" si="3"/>
        <v>0</v>
      </c>
      <c r="G22" s="7">
        <v>0.82484346942320186</v>
      </c>
      <c r="H22" s="7">
        <f t="shared" si="4"/>
        <v>4</v>
      </c>
      <c r="I22" s="7">
        <f t="shared" si="5"/>
        <v>89</v>
      </c>
      <c r="J22" s="7">
        <f t="shared" si="6"/>
        <v>4</v>
      </c>
      <c r="K22" s="7">
        <f t="shared" si="7"/>
        <v>3</v>
      </c>
      <c r="L22" s="5"/>
      <c r="M22" s="5"/>
      <c r="N22" s="5"/>
      <c r="O22" s="5"/>
      <c r="Q22">
        <v>4</v>
      </c>
      <c r="R22">
        <f>COUNTIF(F2:F101,4)</f>
        <v>2</v>
      </c>
    </row>
    <row r="23" spans="1:18" x14ac:dyDescent="0.45">
      <c r="A23" s="7">
        <v>22</v>
      </c>
      <c r="B23" s="7">
        <v>0.10819892761759875</v>
      </c>
      <c r="C23" s="7">
        <f t="shared" ref="C23" si="27" xml:space="preserve"> VLOOKUP(B23,$M$3:$N$10, 2)</f>
        <v>1</v>
      </c>
      <c r="D23" s="7">
        <f t="shared" si="1"/>
        <v>86</v>
      </c>
      <c r="E23" s="7">
        <f t="shared" si="2"/>
        <v>89</v>
      </c>
      <c r="F23" s="7">
        <f t="shared" si="3"/>
        <v>3</v>
      </c>
      <c r="G23" s="7">
        <v>0.10819892761759875</v>
      </c>
      <c r="H23" s="7">
        <f t="shared" si="4"/>
        <v>2</v>
      </c>
      <c r="I23" s="13">
        <f t="shared" si="5"/>
        <v>91</v>
      </c>
      <c r="J23" s="7">
        <f t="shared" si="6"/>
        <v>5</v>
      </c>
      <c r="K23" s="7">
        <f t="shared" si="7"/>
        <v>0</v>
      </c>
      <c r="L23" s="5"/>
      <c r="M23" s="5"/>
      <c r="N23" s="5"/>
      <c r="O23" s="5"/>
      <c r="Q23">
        <v>5</v>
      </c>
      <c r="R23">
        <f>COUNTIF(F2:F101,5)</f>
        <v>2</v>
      </c>
    </row>
    <row r="24" spans="1:18" x14ac:dyDescent="0.45">
      <c r="A24" s="8">
        <v>23</v>
      </c>
      <c r="B24" s="7">
        <v>0.27525084177472159</v>
      </c>
      <c r="C24" s="7">
        <f t="shared" ref="C24" si="28">VLOOKUP(B24,$M$3:$N$10, 2)</f>
        <v>3</v>
      </c>
      <c r="D24" s="7">
        <f t="shared" si="1"/>
        <v>89</v>
      </c>
      <c r="E24" s="7">
        <f t="shared" si="2"/>
        <v>91</v>
      </c>
      <c r="F24" s="7">
        <f t="shared" si="3"/>
        <v>2</v>
      </c>
      <c r="G24" s="7">
        <v>0.27525084177472159</v>
      </c>
      <c r="H24" s="7">
        <f t="shared" si="4"/>
        <v>2</v>
      </c>
      <c r="I24" s="7">
        <f t="shared" si="5"/>
        <v>93</v>
      </c>
      <c r="J24" s="7">
        <f t="shared" si="6"/>
        <v>4</v>
      </c>
      <c r="K24" s="7">
        <f t="shared" si="7"/>
        <v>0</v>
      </c>
      <c r="L24" s="5"/>
      <c r="M24" s="5"/>
      <c r="N24" s="5"/>
      <c r="O24" s="5"/>
      <c r="Q24">
        <v>6</v>
      </c>
      <c r="R24">
        <f>COUNTIF(F2:F101,6)</f>
        <v>0</v>
      </c>
    </row>
    <row r="25" spans="1:18" x14ac:dyDescent="0.45">
      <c r="A25" s="7">
        <v>24</v>
      </c>
      <c r="B25" s="7">
        <v>0.70522033750705593</v>
      </c>
      <c r="C25" s="7">
        <f t="shared" ref="C25" si="29" xml:space="preserve"> VLOOKUP(B25,$M$3:$N$10, 2)</f>
        <v>6</v>
      </c>
      <c r="D25" s="7">
        <f t="shared" si="1"/>
        <v>95</v>
      </c>
      <c r="E25" s="7">
        <f t="shared" si="2"/>
        <v>95</v>
      </c>
      <c r="F25" s="7">
        <f t="shared" si="3"/>
        <v>0</v>
      </c>
      <c r="G25" s="7">
        <v>0.70522033750705593</v>
      </c>
      <c r="H25" s="7">
        <f t="shared" si="4"/>
        <v>4</v>
      </c>
      <c r="I25" s="13">
        <f t="shared" si="5"/>
        <v>99</v>
      </c>
      <c r="J25" s="7">
        <f t="shared" si="6"/>
        <v>4</v>
      </c>
      <c r="K25" s="7">
        <f t="shared" si="7"/>
        <v>2</v>
      </c>
      <c r="L25" s="5"/>
      <c r="M25" s="5"/>
      <c r="N25" s="5"/>
      <c r="O25" s="5"/>
      <c r="Q25">
        <v>7</v>
      </c>
      <c r="R25">
        <f>COUNTIF(F2:F101,7)</f>
        <v>0</v>
      </c>
    </row>
    <row r="26" spans="1:18" x14ac:dyDescent="0.45">
      <c r="A26" s="8">
        <v>25</v>
      </c>
      <c r="B26" s="7">
        <v>0.86347970482582459</v>
      </c>
      <c r="C26" s="7">
        <f t="shared" ref="C26" si="30">VLOOKUP(B26,$M$3:$N$10, 2)</f>
        <v>7</v>
      </c>
      <c r="D26" s="7">
        <f t="shared" si="1"/>
        <v>102</v>
      </c>
      <c r="E26" s="7">
        <f t="shared" si="2"/>
        <v>102</v>
      </c>
      <c r="F26" s="7">
        <f t="shared" si="3"/>
        <v>0</v>
      </c>
      <c r="G26" s="7">
        <v>0.86347970482582459</v>
      </c>
      <c r="H26" s="7">
        <f t="shared" si="4"/>
        <v>5</v>
      </c>
      <c r="I26" s="7">
        <f t="shared" si="5"/>
        <v>107</v>
      </c>
      <c r="J26" s="7">
        <f t="shared" si="6"/>
        <v>5</v>
      </c>
      <c r="K26" s="7">
        <f t="shared" si="7"/>
        <v>3</v>
      </c>
      <c r="L26" s="5"/>
      <c r="M26" s="5"/>
      <c r="N26" s="5"/>
      <c r="O26" s="5"/>
    </row>
    <row r="27" spans="1:18" x14ac:dyDescent="0.45">
      <c r="A27" s="7">
        <v>26</v>
      </c>
      <c r="B27" s="7">
        <v>0.77346478795825724</v>
      </c>
      <c r="C27" s="7">
        <f t="shared" ref="C27" si="31" xml:space="preserve"> VLOOKUP(B27,$M$3:$N$10, 2)</f>
        <v>7</v>
      </c>
      <c r="D27" s="7">
        <f t="shared" si="1"/>
        <v>109</v>
      </c>
      <c r="E27" s="7">
        <f t="shared" si="2"/>
        <v>109</v>
      </c>
      <c r="F27" s="7">
        <f t="shared" si="3"/>
        <v>0</v>
      </c>
      <c r="G27" s="7">
        <v>0.77346478795825724</v>
      </c>
      <c r="H27" s="7">
        <f t="shared" si="4"/>
        <v>4</v>
      </c>
      <c r="I27" s="13">
        <f t="shared" si="5"/>
        <v>113</v>
      </c>
      <c r="J27" s="7">
        <f t="shared" si="6"/>
        <v>4</v>
      </c>
      <c r="K27" s="7">
        <f t="shared" si="7"/>
        <v>2</v>
      </c>
      <c r="L27" s="5"/>
      <c r="M27" s="5"/>
      <c r="N27" s="5"/>
      <c r="O27" s="5"/>
    </row>
    <row r="28" spans="1:18" x14ac:dyDescent="0.45">
      <c r="A28" s="8">
        <v>27</v>
      </c>
      <c r="B28" s="7">
        <v>0.67435197104794165</v>
      </c>
      <c r="C28" s="7">
        <f t="shared" ref="C28" si="32">VLOOKUP(B28,$M$3:$N$10, 2)</f>
        <v>6</v>
      </c>
      <c r="D28" s="7">
        <f t="shared" si="1"/>
        <v>115</v>
      </c>
      <c r="E28" s="7">
        <f t="shared" si="2"/>
        <v>115</v>
      </c>
      <c r="F28" s="7">
        <f t="shared" si="3"/>
        <v>0</v>
      </c>
      <c r="G28" s="7">
        <v>0.67435197104794165</v>
      </c>
      <c r="H28" s="7">
        <f t="shared" si="4"/>
        <v>4</v>
      </c>
      <c r="I28" s="7">
        <f t="shared" si="5"/>
        <v>119</v>
      </c>
      <c r="J28" s="7">
        <f t="shared" si="6"/>
        <v>4</v>
      </c>
      <c r="K28" s="7">
        <f t="shared" si="7"/>
        <v>2</v>
      </c>
      <c r="L28" s="5"/>
      <c r="M28" s="5"/>
      <c r="N28" s="5"/>
      <c r="O28" s="5"/>
    </row>
    <row r="29" spans="1:18" x14ac:dyDescent="0.45">
      <c r="A29" s="7">
        <v>28</v>
      </c>
      <c r="B29" s="7">
        <v>9.2775175825860146E-2</v>
      </c>
      <c r="C29" s="7">
        <f t="shared" ref="C29" si="33" xml:space="preserve"> VLOOKUP(B29,$M$3:$N$10, 2)</f>
        <v>1</v>
      </c>
      <c r="D29" s="7">
        <f t="shared" si="1"/>
        <v>116</v>
      </c>
      <c r="E29" s="7">
        <f t="shared" si="2"/>
        <v>119</v>
      </c>
      <c r="F29" s="7">
        <f t="shared" si="3"/>
        <v>3</v>
      </c>
      <c r="G29" s="7">
        <v>9.2775175825860146E-2</v>
      </c>
      <c r="H29" s="7">
        <f t="shared" si="4"/>
        <v>1</v>
      </c>
      <c r="I29" s="13">
        <f t="shared" si="5"/>
        <v>120</v>
      </c>
      <c r="J29" s="7">
        <f t="shared" si="6"/>
        <v>4</v>
      </c>
      <c r="K29" s="7">
        <f t="shared" si="7"/>
        <v>0</v>
      </c>
      <c r="L29" s="5"/>
      <c r="M29" s="5"/>
      <c r="N29" s="5"/>
      <c r="O29" s="5"/>
    </row>
    <row r="30" spans="1:18" x14ac:dyDescent="0.45">
      <c r="A30" s="8">
        <v>29</v>
      </c>
      <c r="B30" s="7">
        <v>4.862020349314411E-2</v>
      </c>
      <c r="C30" s="7">
        <f t="shared" ref="C30" si="34">VLOOKUP(B30,$M$3:$N$10, 2)</f>
        <v>1</v>
      </c>
      <c r="D30" s="7">
        <f t="shared" si="1"/>
        <v>117</v>
      </c>
      <c r="E30" s="7">
        <f t="shared" si="2"/>
        <v>120</v>
      </c>
      <c r="F30" s="7">
        <f t="shared" si="3"/>
        <v>3</v>
      </c>
      <c r="G30" s="7">
        <v>4.862020349314411E-2</v>
      </c>
      <c r="H30" s="7">
        <f t="shared" si="4"/>
        <v>1</v>
      </c>
      <c r="I30" s="7">
        <f t="shared" si="5"/>
        <v>121</v>
      </c>
      <c r="J30" s="7">
        <f t="shared" si="6"/>
        <v>4</v>
      </c>
      <c r="K30" s="7">
        <f t="shared" si="7"/>
        <v>0</v>
      </c>
      <c r="L30" s="5"/>
      <c r="M30" s="5"/>
      <c r="N30" s="5"/>
      <c r="O30" s="5"/>
    </row>
    <row r="31" spans="1:18" x14ac:dyDescent="0.45">
      <c r="A31" s="7">
        <v>30</v>
      </c>
      <c r="B31" s="7">
        <v>0.48257331828855421</v>
      </c>
      <c r="C31" s="7">
        <f t="shared" ref="C31" si="35" xml:space="preserve"> VLOOKUP(B31,$M$3:$N$10, 2)</f>
        <v>4</v>
      </c>
      <c r="D31" s="7">
        <f t="shared" si="1"/>
        <v>121</v>
      </c>
      <c r="E31" s="7">
        <f t="shared" si="2"/>
        <v>121</v>
      </c>
      <c r="F31" s="7">
        <f t="shared" si="3"/>
        <v>0</v>
      </c>
      <c r="G31" s="7">
        <v>0.48257331828855421</v>
      </c>
      <c r="H31" s="7">
        <f t="shared" si="4"/>
        <v>3</v>
      </c>
      <c r="I31" s="13">
        <f t="shared" si="5"/>
        <v>124</v>
      </c>
      <c r="J31" s="7">
        <f t="shared" si="6"/>
        <v>3</v>
      </c>
      <c r="K31" s="7">
        <f t="shared" si="7"/>
        <v>0</v>
      </c>
      <c r="L31" s="5"/>
      <c r="M31" s="5"/>
      <c r="N31" s="5"/>
      <c r="O31" s="5"/>
    </row>
    <row r="32" spans="1:18" x14ac:dyDescent="0.45">
      <c r="A32" s="8">
        <v>31</v>
      </c>
      <c r="B32" s="7">
        <v>0.51982047962956446</v>
      </c>
      <c r="C32" s="7">
        <f t="shared" ref="C32" si="36">VLOOKUP(B32,$M$3:$N$10, 2)</f>
        <v>5</v>
      </c>
      <c r="D32" s="7">
        <f t="shared" si="1"/>
        <v>126</v>
      </c>
      <c r="E32" s="7">
        <f t="shared" si="2"/>
        <v>126</v>
      </c>
      <c r="F32" s="7">
        <f t="shared" si="3"/>
        <v>0</v>
      </c>
      <c r="G32" s="7">
        <v>0.51982047962956446</v>
      </c>
      <c r="H32" s="7">
        <f t="shared" si="4"/>
        <v>3</v>
      </c>
      <c r="I32" s="7">
        <f t="shared" si="5"/>
        <v>129</v>
      </c>
      <c r="J32" s="7">
        <f t="shared" si="6"/>
        <v>3</v>
      </c>
      <c r="K32" s="7">
        <f t="shared" si="7"/>
        <v>2</v>
      </c>
      <c r="L32" s="5"/>
      <c r="M32" s="5"/>
      <c r="N32" s="5"/>
      <c r="O32" s="5"/>
    </row>
    <row r="33" spans="1:15" x14ac:dyDescent="0.45">
      <c r="A33" s="7">
        <v>32</v>
      </c>
      <c r="B33" s="7">
        <v>0.50892398332018141</v>
      </c>
      <c r="C33" s="7">
        <f t="shared" ref="C33" si="37" xml:space="preserve"> VLOOKUP(B33,$M$3:$N$10, 2)</f>
        <v>5</v>
      </c>
      <c r="D33" s="7">
        <f t="shared" si="1"/>
        <v>131</v>
      </c>
      <c r="E33" s="7">
        <f t="shared" si="2"/>
        <v>131</v>
      </c>
      <c r="F33" s="7">
        <f t="shared" si="3"/>
        <v>0</v>
      </c>
      <c r="G33" s="7">
        <v>0.50892398332018141</v>
      </c>
      <c r="H33" s="7">
        <f t="shared" si="4"/>
        <v>3</v>
      </c>
      <c r="I33" s="13">
        <f t="shared" si="5"/>
        <v>134</v>
      </c>
      <c r="J33" s="7">
        <f t="shared" si="6"/>
        <v>3</v>
      </c>
      <c r="K33" s="7">
        <f t="shared" si="7"/>
        <v>2</v>
      </c>
      <c r="L33" s="5"/>
      <c r="M33" s="5"/>
      <c r="N33" s="5"/>
      <c r="O33" s="5"/>
    </row>
    <row r="34" spans="1:15" x14ac:dyDescent="0.45">
      <c r="A34" s="8">
        <v>33</v>
      </c>
      <c r="B34" s="7">
        <v>0.88671973617304733</v>
      </c>
      <c r="C34" s="7">
        <f t="shared" ref="C34" si="38">VLOOKUP(B34,$M$3:$N$10, 2)</f>
        <v>8</v>
      </c>
      <c r="D34" s="7">
        <f t="shared" si="1"/>
        <v>139</v>
      </c>
      <c r="E34" s="7">
        <f t="shared" si="2"/>
        <v>139</v>
      </c>
      <c r="F34" s="7">
        <f t="shared" si="3"/>
        <v>0</v>
      </c>
      <c r="G34" s="7">
        <v>0.88671973617304733</v>
      </c>
      <c r="H34" s="7">
        <f t="shared" si="4"/>
        <v>5</v>
      </c>
      <c r="I34" s="7">
        <f t="shared" si="5"/>
        <v>144</v>
      </c>
      <c r="J34" s="7">
        <f t="shared" si="6"/>
        <v>5</v>
      </c>
      <c r="K34" s="7">
        <f t="shared" si="7"/>
        <v>5</v>
      </c>
      <c r="L34" s="5"/>
      <c r="M34" s="5"/>
      <c r="N34" s="5"/>
      <c r="O34" s="5"/>
    </row>
    <row r="35" spans="1:15" x14ac:dyDescent="0.45">
      <c r="A35" s="7">
        <v>34</v>
      </c>
      <c r="B35" s="7">
        <v>0.42693965321860172</v>
      </c>
      <c r="C35" s="7">
        <f t="shared" ref="C35" si="39" xml:space="preserve"> VLOOKUP(B35,$M$3:$N$10, 2)</f>
        <v>4</v>
      </c>
      <c r="D35" s="7">
        <f t="shared" si="1"/>
        <v>143</v>
      </c>
      <c r="E35" s="7">
        <f t="shared" si="2"/>
        <v>144</v>
      </c>
      <c r="F35" s="7">
        <f t="shared" si="3"/>
        <v>1</v>
      </c>
      <c r="G35" s="7">
        <v>0.42693965321860172</v>
      </c>
      <c r="H35" s="7">
        <f t="shared" si="4"/>
        <v>3</v>
      </c>
      <c r="I35" s="13">
        <f t="shared" si="5"/>
        <v>147</v>
      </c>
      <c r="J35" s="7">
        <f t="shared" si="6"/>
        <v>4</v>
      </c>
      <c r="K35" s="7">
        <f t="shared" si="7"/>
        <v>0</v>
      </c>
      <c r="L35" s="5"/>
      <c r="M35" s="5"/>
      <c r="N35" s="5"/>
      <c r="O35" s="5"/>
    </row>
    <row r="36" spans="1:15" x14ac:dyDescent="0.45">
      <c r="A36" s="8">
        <v>35</v>
      </c>
      <c r="B36" s="7">
        <v>1.7355581527644937E-3</v>
      </c>
      <c r="C36" s="7">
        <f t="shared" ref="C36" si="40">VLOOKUP(B36,$M$3:$N$10, 2)</f>
        <v>1</v>
      </c>
      <c r="D36" s="7">
        <f t="shared" si="1"/>
        <v>144</v>
      </c>
      <c r="E36" s="7">
        <f t="shared" si="2"/>
        <v>147</v>
      </c>
      <c r="F36" s="7">
        <f t="shared" si="3"/>
        <v>3</v>
      </c>
      <c r="G36" s="7">
        <v>1.7355581527644937E-3</v>
      </c>
      <c r="H36" s="7">
        <f t="shared" si="4"/>
        <v>1</v>
      </c>
      <c r="I36" s="7">
        <f t="shared" si="5"/>
        <v>148</v>
      </c>
      <c r="J36" s="7">
        <f t="shared" si="6"/>
        <v>4</v>
      </c>
      <c r="K36" s="7">
        <f t="shared" si="7"/>
        <v>0</v>
      </c>
      <c r="L36" s="5"/>
      <c r="M36" s="5"/>
      <c r="N36" s="5"/>
      <c r="O36" s="5"/>
    </row>
    <row r="37" spans="1:15" x14ac:dyDescent="0.45">
      <c r="A37" s="7">
        <v>36</v>
      </c>
      <c r="B37" s="7">
        <v>0.74106623543856531</v>
      </c>
      <c r="C37" s="7">
        <f t="shared" ref="C37" si="41" xml:space="preserve"> VLOOKUP(B37,$M$3:$N$10, 2)</f>
        <v>6</v>
      </c>
      <c r="D37" s="7">
        <f t="shared" si="1"/>
        <v>150</v>
      </c>
      <c r="E37" s="7">
        <f t="shared" si="2"/>
        <v>150</v>
      </c>
      <c r="F37" s="7">
        <f t="shared" si="3"/>
        <v>0</v>
      </c>
      <c r="G37" s="7">
        <v>0.74106623543856531</v>
      </c>
      <c r="H37" s="7">
        <f t="shared" si="4"/>
        <v>4</v>
      </c>
      <c r="I37" s="13">
        <f t="shared" si="5"/>
        <v>154</v>
      </c>
      <c r="J37" s="7">
        <f t="shared" si="6"/>
        <v>4</v>
      </c>
      <c r="K37" s="7">
        <f t="shared" si="7"/>
        <v>2</v>
      </c>
      <c r="L37" s="5"/>
      <c r="M37" s="5"/>
      <c r="N37" s="5"/>
      <c r="O37" s="5"/>
    </row>
    <row r="38" spans="1:15" x14ac:dyDescent="0.45">
      <c r="A38" s="8">
        <v>37</v>
      </c>
      <c r="B38" s="7">
        <v>0.13774261974922564</v>
      </c>
      <c r="C38" s="7">
        <f t="shared" ref="C38" si="42">VLOOKUP(B38,$M$3:$N$10, 2)</f>
        <v>2</v>
      </c>
      <c r="D38" s="7">
        <f t="shared" si="1"/>
        <v>152</v>
      </c>
      <c r="E38" s="7">
        <f t="shared" si="2"/>
        <v>154</v>
      </c>
      <c r="F38" s="7">
        <f t="shared" si="3"/>
        <v>2</v>
      </c>
      <c r="G38" s="7">
        <v>0.13774261974922564</v>
      </c>
      <c r="H38" s="7">
        <f t="shared" si="4"/>
        <v>2</v>
      </c>
      <c r="I38" s="7">
        <f t="shared" si="5"/>
        <v>156</v>
      </c>
      <c r="J38" s="7">
        <f t="shared" si="6"/>
        <v>4</v>
      </c>
      <c r="K38" s="7">
        <f t="shared" si="7"/>
        <v>0</v>
      </c>
      <c r="L38" s="5"/>
      <c r="M38" s="5"/>
      <c r="N38" s="5"/>
      <c r="O38" s="5"/>
    </row>
    <row r="39" spans="1:15" x14ac:dyDescent="0.45">
      <c r="A39" s="7">
        <v>38</v>
      </c>
      <c r="B39" s="7">
        <v>0.86789370061371995</v>
      </c>
      <c r="C39" s="7">
        <f t="shared" ref="C39" si="43" xml:space="preserve"> VLOOKUP(B39,$M$3:$N$10, 2)</f>
        <v>7</v>
      </c>
      <c r="D39" s="7">
        <f t="shared" si="1"/>
        <v>159</v>
      </c>
      <c r="E39" s="7">
        <f t="shared" si="2"/>
        <v>159</v>
      </c>
      <c r="F39" s="7">
        <f t="shared" si="3"/>
        <v>0</v>
      </c>
      <c r="G39" s="7">
        <v>0.86789370061371995</v>
      </c>
      <c r="H39" s="7">
        <f t="shared" si="4"/>
        <v>5</v>
      </c>
      <c r="I39" s="13">
        <f t="shared" si="5"/>
        <v>164</v>
      </c>
      <c r="J39" s="7">
        <f t="shared" si="6"/>
        <v>5</v>
      </c>
      <c r="K39" s="7">
        <f t="shared" si="7"/>
        <v>3</v>
      </c>
      <c r="L39" s="5"/>
      <c r="M39" s="5"/>
      <c r="N39" s="5"/>
      <c r="O39" s="5"/>
    </row>
    <row r="40" spans="1:15" x14ac:dyDescent="0.45">
      <c r="A40" s="8">
        <v>39</v>
      </c>
      <c r="B40" s="7">
        <v>0.21902767034285209</v>
      </c>
      <c r="C40" s="7">
        <f t="shared" ref="C40" si="44">VLOOKUP(B40,$M$3:$N$10, 2)</f>
        <v>2</v>
      </c>
      <c r="D40" s="7">
        <f t="shared" si="1"/>
        <v>161</v>
      </c>
      <c r="E40" s="7">
        <f t="shared" si="2"/>
        <v>164</v>
      </c>
      <c r="F40" s="7">
        <f t="shared" si="3"/>
        <v>3</v>
      </c>
      <c r="G40" s="7">
        <v>0.21902767034285209</v>
      </c>
      <c r="H40" s="7">
        <f t="shared" si="4"/>
        <v>2</v>
      </c>
      <c r="I40" s="7">
        <f t="shared" si="5"/>
        <v>166</v>
      </c>
      <c r="J40" s="7">
        <f t="shared" si="6"/>
        <v>5</v>
      </c>
      <c r="K40" s="7">
        <f t="shared" si="7"/>
        <v>0</v>
      </c>
      <c r="L40" s="5"/>
      <c r="M40" s="5"/>
      <c r="N40" s="5"/>
      <c r="O40" s="5"/>
    </row>
    <row r="41" spans="1:15" x14ac:dyDescent="0.45">
      <c r="A41" s="7">
        <v>40</v>
      </c>
      <c r="B41" s="7">
        <v>9.0505930355061492E-3</v>
      </c>
      <c r="C41" s="7">
        <f t="shared" ref="C41" si="45" xml:space="preserve"> VLOOKUP(B41,$M$3:$N$10, 2)</f>
        <v>1</v>
      </c>
      <c r="D41" s="7">
        <f t="shared" si="1"/>
        <v>162</v>
      </c>
      <c r="E41" s="7">
        <f t="shared" si="2"/>
        <v>166</v>
      </c>
      <c r="F41" s="7">
        <f t="shared" si="3"/>
        <v>4</v>
      </c>
      <c r="G41" s="7">
        <v>9.0505930355061492E-3</v>
      </c>
      <c r="H41" s="7">
        <f t="shared" si="4"/>
        <v>1</v>
      </c>
      <c r="I41" s="13">
        <f t="shared" si="5"/>
        <v>167</v>
      </c>
      <c r="J41" s="7">
        <f t="shared" si="6"/>
        <v>5</v>
      </c>
      <c r="K41" s="7">
        <f t="shared" si="7"/>
        <v>0</v>
      </c>
      <c r="L41" s="5"/>
      <c r="M41" s="5"/>
      <c r="N41" s="5"/>
      <c r="O41" s="5"/>
    </row>
    <row r="42" spans="1:15" x14ac:dyDescent="0.45">
      <c r="A42" s="8">
        <v>41</v>
      </c>
      <c r="B42" s="7">
        <v>0.74239577710382676</v>
      </c>
      <c r="C42" s="7">
        <f t="shared" ref="C42" si="46">VLOOKUP(B42,$M$3:$N$10, 2)</f>
        <v>6</v>
      </c>
      <c r="D42" s="7">
        <f t="shared" si="1"/>
        <v>168</v>
      </c>
      <c r="E42" s="7">
        <f t="shared" si="2"/>
        <v>168</v>
      </c>
      <c r="F42" s="7">
        <f t="shared" si="3"/>
        <v>0</v>
      </c>
      <c r="G42" s="7">
        <v>0.74239577710382676</v>
      </c>
      <c r="H42" s="7">
        <f t="shared" si="4"/>
        <v>4</v>
      </c>
      <c r="I42" s="7">
        <f t="shared" si="5"/>
        <v>172</v>
      </c>
      <c r="J42" s="7">
        <f t="shared" si="6"/>
        <v>4</v>
      </c>
      <c r="K42" s="7">
        <f t="shared" si="7"/>
        <v>1</v>
      </c>
      <c r="L42" s="5"/>
      <c r="M42" s="5"/>
      <c r="N42" s="5"/>
      <c r="O42" s="5"/>
    </row>
    <row r="43" spans="1:15" x14ac:dyDescent="0.45">
      <c r="A43" s="7">
        <v>42</v>
      </c>
      <c r="B43" s="7">
        <v>0.95156543846056574</v>
      </c>
      <c r="C43" s="7">
        <f t="shared" ref="C43" si="47" xml:space="preserve"> VLOOKUP(B43,$M$3:$N$10, 2)</f>
        <v>8</v>
      </c>
      <c r="D43" s="7">
        <f t="shared" si="1"/>
        <v>176</v>
      </c>
      <c r="E43" s="7">
        <f t="shared" si="2"/>
        <v>176</v>
      </c>
      <c r="F43" s="7">
        <f t="shared" si="3"/>
        <v>0</v>
      </c>
      <c r="G43" s="7">
        <v>0.95156543846056574</v>
      </c>
      <c r="H43" s="7">
        <f t="shared" si="4"/>
        <v>6</v>
      </c>
      <c r="I43" s="13">
        <f t="shared" si="5"/>
        <v>182</v>
      </c>
      <c r="J43" s="7">
        <f t="shared" si="6"/>
        <v>6</v>
      </c>
      <c r="K43" s="7">
        <f t="shared" si="7"/>
        <v>4</v>
      </c>
      <c r="L43" s="5"/>
      <c r="M43" s="5"/>
      <c r="N43" s="5"/>
      <c r="O43" s="5"/>
    </row>
    <row r="44" spans="1:15" x14ac:dyDescent="0.45">
      <c r="A44" s="8">
        <v>43</v>
      </c>
      <c r="B44" s="7">
        <v>0.35159955003292087</v>
      </c>
      <c r="C44" s="7">
        <f t="shared" ref="C44" si="48">VLOOKUP(B44,$M$3:$N$10, 2)</f>
        <v>3</v>
      </c>
      <c r="D44" s="7">
        <f t="shared" si="1"/>
        <v>179</v>
      </c>
      <c r="E44" s="7">
        <f t="shared" si="2"/>
        <v>182</v>
      </c>
      <c r="F44" s="7">
        <f t="shared" si="3"/>
        <v>3</v>
      </c>
      <c r="G44" s="7">
        <v>0.35159955003292087</v>
      </c>
      <c r="H44" s="7">
        <f t="shared" si="4"/>
        <v>3</v>
      </c>
      <c r="I44" s="7">
        <f t="shared" si="5"/>
        <v>185</v>
      </c>
      <c r="J44" s="7">
        <f t="shared" si="6"/>
        <v>6</v>
      </c>
      <c r="K44" s="7">
        <f t="shared" si="7"/>
        <v>0</v>
      </c>
      <c r="L44" s="5"/>
      <c r="M44" s="5"/>
      <c r="N44" s="5"/>
      <c r="O44" s="5"/>
    </row>
    <row r="45" spans="1:15" x14ac:dyDescent="0.45">
      <c r="A45" s="7">
        <v>44</v>
      </c>
      <c r="B45" s="7">
        <v>0.34515396148716593</v>
      </c>
      <c r="C45" s="7">
        <f t="shared" ref="C45" si="49" xml:space="preserve"> VLOOKUP(B45,$M$3:$N$10, 2)</f>
        <v>3</v>
      </c>
      <c r="D45" s="7">
        <f t="shared" si="1"/>
        <v>182</v>
      </c>
      <c r="E45" s="7">
        <f t="shared" si="2"/>
        <v>185</v>
      </c>
      <c r="F45" s="7">
        <f t="shared" si="3"/>
        <v>3</v>
      </c>
      <c r="G45" s="7">
        <v>0.34515396148716593</v>
      </c>
      <c r="H45" s="7">
        <f t="shared" si="4"/>
        <v>3</v>
      </c>
      <c r="I45" s="13">
        <f t="shared" si="5"/>
        <v>188</v>
      </c>
      <c r="J45" s="7">
        <f t="shared" si="6"/>
        <v>6</v>
      </c>
      <c r="K45" s="7">
        <f t="shared" si="7"/>
        <v>0</v>
      </c>
      <c r="L45" s="5"/>
      <c r="M45" s="5"/>
      <c r="N45" s="5"/>
      <c r="O45" s="5"/>
    </row>
    <row r="46" spans="1:15" x14ac:dyDescent="0.45">
      <c r="A46" s="8">
        <v>45</v>
      </c>
      <c r="B46" s="7">
        <v>0.50130606614353412</v>
      </c>
      <c r="C46" s="7">
        <f t="shared" ref="C46" si="50">VLOOKUP(B46,$M$3:$N$10, 2)</f>
        <v>5</v>
      </c>
      <c r="D46" s="7">
        <f t="shared" si="1"/>
        <v>187</v>
      </c>
      <c r="E46" s="7">
        <f t="shared" si="2"/>
        <v>188</v>
      </c>
      <c r="F46" s="7">
        <f t="shared" si="3"/>
        <v>1</v>
      </c>
      <c r="G46" s="7">
        <v>0.50130606614353412</v>
      </c>
      <c r="H46" s="7">
        <f t="shared" si="4"/>
        <v>3</v>
      </c>
      <c r="I46" s="7">
        <f t="shared" si="5"/>
        <v>191</v>
      </c>
      <c r="J46" s="7">
        <f t="shared" si="6"/>
        <v>4</v>
      </c>
      <c r="K46" s="7">
        <f t="shared" si="7"/>
        <v>0</v>
      </c>
      <c r="L46" s="5"/>
      <c r="M46" s="5"/>
      <c r="N46" s="5"/>
      <c r="O46" s="5"/>
    </row>
    <row r="47" spans="1:15" x14ac:dyDescent="0.45">
      <c r="A47" s="7">
        <v>46</v>
      </c>
      <c r="B47" s="7">
        <v>0.48575898684335606</v>
      </c>
      <c r="C47" s="7">
        <f t="shared" ref="C47" si="51" xml:space="preserve"> VLOOKUP(B47,$M$3:$N$10, 2)</f>
        <v>4</v>
      </c>
      <c r="D47" s="7">
        <f t="shared" si="1"/>
        <v>191</v>
      </c>
      <c r="E47" s="7">
        <f t="shared" si="2"/>
        <v>191</v>
      </c>
      <c r="F47" s="7">
        <f t="shared" si="3"/>
        <v>0</v>
      </c>
      <c r="G47" s="7">
        <v>0.48575898684335606</v>
      </c>
      <c r="H47" s="7">
        <f t="shared" si="4"/>
        <v>3</v>
      </c>
      <c r="I47" s="13">
        <f t="shared" si="5"/>
        <v>194</v>
      </c>
      <c r="J47" s="7">
        <f t="shared" si="6"/>
        <v>3</v>
      </c>
      <c r="K47" s="7">
        <f t="shared" si="7"/>
        <v>0</v>
      </c>
      <c r="L47" s="5"/>
      <c r="M47" s="5"/>
      <c r="N47" s="5"/>
      <c r="O47" s="5"/>
    </row>
    <row r="48" spans="1:15" x14ac:dyDescent="0.45">
      <c r="A48" s="8">
        <v>47</v>
      </c>
      <c r="B48" s="7">
        <v>0.5893781908130632</v>
      </c>
      <c r="C48" s="7">
        <f t="shared" ref="C48" si="52">VLOOKUP(B48,$M$3:$N$10, 2)</f>
        <v>5</v>
      </c>
      <c r="D48" s="7">
        <f t="shared" si="1"/>
        <v>196</v>
      </c>
      <c r="E48" s="7">
        <f t="shared" si="2"/>
        <v>196</v>
      </c>
      <c r="F48" s="7">
        <f t="shared" si="3"/>
        <v>0</v>
      </c>
      <c r="G48" s="7">
        <v>0.5893781908130632</v>
      </c>
      <c r="H48" s="7">
        <f t="shared" si="4"/>
        <v>3</v>
      </c>
      <c r="I48" s="7">
        <f t="shared" si="5"/>
        <v>199</v>
      </c>
      <c r="J48" s="7">
        <f t="shared" si="6"/>
        <v>3</v>
      </c>
      <c r="K48" s="7">
        <f t="shared" si="7"/>
        <v>2</v>
      </c>
      <c r="L48" s="5"/>
      <c r="M48" s="5"/>
      <c r="N48" s="5"/>
      <c r="O48" s="5"/>
    </row>
    <row r="49" spans="1:15" x14ac:dyDescent="0.45">
      <c r="A49" s="7">
        <v>48</v>
      </c>
      <c r="B49" s="7">
        <v>0.31285613270803503</v>
      </c>
      <c r="C49" s="7">
        <f t="shared" ref="C49" si="53" xml:space="preserve"> VLOOKUP(B49,$M$3:$N$10, 2)</f>
        <v>3</v>
      </c>
      <c r="D49" s="7">
        <f t="shared" si="1"/>
        <v>199</v>
      </c>
      <c r="E49" s="7">
        <f t="shared" si="2"/>
        <v>199</v>
      </c>
      <c r="F49" s="7">
        <f t="shared" si="3"/>
        <v>0</v>
      </c>
      <c r="G49" s="7">
        <v>0.31285613270803503</v>
      </c>
      <c r="H49" s="7">
        <f t="shared" si="4"/>
        <v>3</v>
      </c>
      <c r="I49" s="13">
        <f t="shared" si="5"/>
        <v>202</v>
      </c>
      <c r="J49" s="7">
        <f t="shared" si="6"/>
        <v>3</v>
      </c>
      <c r="K49" s="7">
        <f t="shared" si="7"/>
        <v>0</v>
      </c>
      <c r="L49" s="5"/>
      <c r="M49" s="5"/>
      <c r="N49" s="5"/>
      <c r="O49" s="5"/>
    </row>
    <row r="50" spans="1:15" x14ac:dyDescent="0.45">
      <c r="A50" s="8">
        <v>49</v>
      </c>
      <c r="B50" s="7">
        <v>0.95816443865998258</v>
      </c>
      <c r="C50" s="7">
        <f t="shared" ref="C50" si="54">VLOOKUP(B50,$M$3:$N$10, 2)</f>
        <v>8</v>
      </c>
      <c r="D50" s="7">
        <f t="shared" si="1"/>
        <v>207</v>
      </c>
      <c r="E50" s="7">
        <f t="shared" si="2"/>
        <v>207</v>
      </c>
      <c r="F50" s="7">
        <f t="shared" si="3"/>
        <v>0</v>
      </c>
      <c r="G50" s="7">
        <v>0.95816443865998258</v>
      </c>
      <c r="H50" s="7">
        <f t="shared" si="4"/>
        <v>6</v>
      </c>
      <c r="I50" s="7">
        <f t="shared" si="5"/>
        <v>213</v>
      </c>
      <c r="J50" s="7">
        <f t="shared" si="6"/>
        <v>6</v>
      </c>
      <c r="K50" s="7">
        <f t="shared" si="7"/>
        <v>5</v>
      </c>
      <c r="L50" s="5"/>
      <c r="M50" s="5"/>
      <c r="N50" s="5"/>
      <c r="O50" s="5"/>
    </row>
    <row r="51" spans="1:15" x14ac:dyDescent="0.45">
      <c r="A51" s="7">
        <v>50</v>
      </c>
      <c r="B51" s="7">
        <v>0.91093474893202231</v>
      </c>
      <c r="C51" s="7">
        <f t="shared" ref="C51" si="55" xml:space="preserve"> VLOOKUP(B51,$M$3:$N$10, 2)</f>
        <v>8</v>
      </c>
      <c r="D51" s="7">
        <f t="shared" si="1"/>
        <v>215</v>
      </c>
      <c r="E51" s="7">
        <f t="shared" si="2"/>
        <v>215</v>
      </c>
      <c r="F51" s="7">
        <f t="shared" si="3"/>
        <v>0</v>
      </c>
      <c r="G51" s="7">
        <v>0.91093474893202231</v>
      </c>
      <c r="H51" s="7">
        <f t="shared" si="4"/>
        <v>5</v>
      </c>
      <c r="I51" s="13">
        <f t="shared" si="5"/>
        <v>220</v>
      </c>
      <c r="J51" s="7">
        <f t="shared" si="6"/>
        <v>5</v>
      </c>
      <c r="K51" s="7">
        <f t="shared" si="7"/>
        <v>2</v>
      </c>
      <c r="L51" s="5"/>
      <c r="M51" s="5"/>
      <c r="N51" s="5"/>
      <c r="O51" s="5"/>
    </row>
    <row r="52" spans="1:15" x14ac:dyDescent="0.45">
      <c r="A52" s="8">
        <v>51</v>
      </c>
      <c r="B52" s="7">
        <v>0.22385626407869785</v>
      </c>
      <c r="C52" s="7">
        <f t="shared" ref="C52" si="56">VLOOKUP(B52,$M$3:$N$10, 2)</f>
        <v>2</v>
      </c>
      <c r="D52" s="7">
        <f t="shared" si="1"/>
        <v>217</v>
      </c>
      <c r="E52" s="7">
        <f t="shared" si="2"/>
        <v>220</v>
      </c>
      <c r="F52" s="7">
        <f t="shared" si="3"/>
        <v>3</v>
      </c>
      <c r="G52" s="7">
        <v>0.22385626407869785</v>
      </c>
      <c r="H52" s="7">
        <f t="shared" si="4"/>
        <v>2</v>
      </c>
      <c r="I52" s="7">
        <f t="shared" si="5"/>
        <v>222</v>
      </c>
      <c r="J52" s="7">
        <f t="shared" si="6"/>
        <v>5</v>
      </c>
      <c r="K52" s="7">
        <f t="shared" si="7"/>
        <v>0</v>
      </c>
      <c r="L52" s="5"/>
      <c r="M52" s="5"/>
      <c r="N52" s="5"/>
      <c r="O52" s="5"/>
    </row>
    <row r="53" spans="1:15" x14ac:dyDescent="0.45">
      <c r="A53" s="7">
        <v>52</v>
      </c>
      <c r="B53" s="7">
        <v>0.91799055049272293</v>
      </c>
      <c r="C53" s="7">
        <f t="shared" ref="C53" si="57" xml:space="preserve"> VLOOKUP(B53,$M$3:$N$10, 2)</f>
        <v>8</v>
      </c>
      <c r="D53" s="7">
        <f t="shared" si="1"/>
        <v>225</v>
      </c>
      <c r="E53" s="7">
        <f t="shared" si="2"/>
        <v>225</v>
      </c>
      <c r="F53" s="7">
        <f t="shared" si="3"/>
        <v>0</v>
      </c>
      <c r="G53" s="7">
        <v>0.91799055049272293</v>
      </c>
      <c r="H53" s="7">
        <f t="shared" si="4"/>
        <v>5</v>
      </c>
      <c r="I53" s="13">
        <f t="shared" si="5"/>
        <v>230</v>
      </c>
      <c r="J53" s="7">
        <f t="shared" si="6"/>
        <v>5</v>
      </c>
      <c r="K53" s="7">
        <f t="shared" si="7"/>
        <v>3</v>
      </c>
      <c r="L53" s="5"/>
      <c r="M53" s="5"/>
      <c r="N53" s="5"/>
      <c r="O53" s="5"/>
    </row>
    <row r="54" spans="1:15" x14ac:dyDescent="0.45">
      <c r="A54" s="8">
        <v>53</v>
      </c>
      <c r="B54" s="7">
        <v>0.88173384472646421</v>
      </c>
      <c r="C54" s="7">
        <f t="shared" ref="C54" si="58">VLOOKUP(B54,$M$3:$N$10, 2)</f>
        <v>8</v>
      </c>
      <c r="D54" s="7">
        <f t="shared" si="1"/>
        <v>233</v>
      </c>
      <c r="E54" s="7">
        <f t="shared" si="2"/>
        <v>233</v>
      </c>
      <c r="F54" s="7">
        <f t="shared" si="3"/>
        <v>0</v>
      </c>
      <c r="G54" s="7">
        <v>0.88173384472646421</v>
      </c>
      <c r="H54" s="7">
        <f t="shared" si="4"/>
        <v>5</v>
      </c>
      <c r="I54" s="7">
        <f t="shared" si="5"/>
        <v>238</v>
      </c>
      <c r="J54" s="7">
        <f t="shared" si="6"/>
        <v>5</v>
      </c>
      <c r="K54" s="7">
        <f t="shared" si="7"/>
        <v>3</v>
      </c>
      <c r="L54" s="5"/>
      <c r="M54" s="5"/>
      <c r="N54" s="5"/>
      <c r="O54" s="5"/>
    </row>
    <row r="55" spans="1:15" x14ac:dyDescent="0.45">
      <c r="A55" s="7">
        <v>54</v>
      </c>
      <c r="B55" s="7">
        <v>0.30614437419560536</v>
      </c>
      <c r="C55" s="7">
        <f t="shared" ref="C55" si="59" xml:space="preserve"> VLOOKUP(B55,$M$3:$N$10, 2)</f>
        <v>3</v>
      </c>
      <c r="D55" s="7">
        <f t="shared" si="1"/>
        <v>236</v>
      </c>
      <c r="E55" s="7">
        <f t="shared" si="2"/>
        <v>238</v>
      </c>
      <c r="F55" s="7">
        <f t="shared" si="3"/>
        <v>2</v>
      </c>
      <c r="G55" s="7">
        <v>0.30614437419560536</v>
      </c>
      <c r="H55" s="7">
        <f t="shared" si="4"/>
        <v>3</v>
      </c>
      <c r="I55" s="13">
        <f t="shared" si="5"/>
        <v>241</v>
      </c>
      <c r="J55" s="7">
        <f t="shared" si="6"/>
        <v>5</v>
      </c>
      <c r="K55" s="7">
        <f t="shared" si="7"/>
        <v>0</v>
      </c>
      <c r="L55" s="5"/>
      <c r="M55" s="5"/>
      <c r="N55" s="5"/>
      <c r="O55" s="5"/>
    </row>
    <row r="56" spans="1:15" x14ac:dyDescent="0.45">
      <c r="A56" s="8">
        <v>55</v>
      </c>
      <c r="B56" s="7">
        <v>0.77662184662049305</v>
      </c>
      <c r="C56" s="7">
        <f t="shared" ref="C56" si="60">VLOOKUP(B56,$M$3:$N$10, 2)</f>
        <v>7</v>
      </c>
      <c r="D56" s="7">
        <f t="shared" si="1"/>
        <v>243</v>
      </c>
      <c r="E56" s="7">
        <f t="shared" si="2"/>
        <v>243</v>
      </c>
      <c r="F56" s="7">
        <f t="shared" si="3"/>
        <v>0</v>
      </c>
      <c r="G56" s="7">
        <v>0.77662184662049305</v>
      </c>
      <c r="H56" s="7">
        <f t="shared" si="4"/>
        <v>4</v>
      </c>
      <c r="I56" s="7">
        <f t="shared" si="5"/>
        <v>247</v>
      </c>
      <c r="J56" s="7">
        <f t="shared" si="6"/>
        <v>4</v>
      </c>
      <c r="K56" s="7">
        <f t="shared" si="7"/>
        <v>2</v>
      </c>
      <c r="L56" s="5"/>
      <c r="M56" s="5"/>
      <c r="N56" s="5"/>
      <c r="O56" s="5"/>
    </row>
    <row r="57" spans="1:15" x14ac:dyDescent="0.45">
      <c r="A57" s="7">
        <v>56</v>
      </c>
      <c r="B57" s="7">
        <v>0.72987159268924817</v>
      </c>
      <c r="C57" s="7">
        <f t="shared" ref="C57" si="61" xml:space="preserve"> VLOOKUP(B57,$M$3:$N$10, 2)</f>
        <v>6</v>
      </c>
      <c r="D57" s="7">
        <f t="shared" si="1"/>
        <v>249</v>
      </c>
      <c r="E57" s="7">
        <f t="shared" si="2"/>
        <v>249</v>
      </c>
      <c r="F57" s="7">
        <f t="shared" si="3"/>
        <v>0</v>
      </c>
      <c r="G57" s="7">
        <v>0.72987159268924817</v>
      </c>
      <c r="H57" s="7">
        <f t="shared" si="4"/>
        <v>4</v>
      </c>
      <c r="I57" s="13">
        <f t="shared" si="5"/>
        <v>253</v>
      </c>
      <c r="J57" s="7">
        <f t="shared" si="6"/>
        <v>4</v>
      </c>
      <c r="K57" s="7">
        <f t="shared" si="7"/>
        <v>2</v>
      </c>
      <c r="L57" s="5"/>
      <c r="M57" s="5"/>
      <c r="N57" s="5"/>
      <c r="O57" s="5"/>
    </row>
    <row r="58" spans="1:15" x14ac:dyDescent="0.45">
      <c r="A58" s="8">
        <v>57</v>
      </c>
      <c r="B58" s="7">
        <v>0.59688477310760035</v>
      </c>
      <c r="C58" s="7">
        <f t="shared" ref="C58" si="62">VLOOKUP(B58,$M$3:$N$10, 2)</f>
        <v>5</v>
      </c>
      <c r="D58" s="7">
        <f t="shared" si="1"/>
        <v>254</v>
      </c>
      <c r="E58" s="7">
        <f t="shared" si="2"/>
        <v>254</v>
      </c>
      <c r="F58" s="7">
        <f t="shared" si="3"/>
        <v>0</v>
      </c>
      <c r="G58" s="7">
        <v>0.59688477310760035</v>
      </c>
      <c r="H58" s="7">
        <f t="shared" si="4"/>
        <v>3</v>
      </c>
      <c r="I58" s="7">
        <f t="shared" si="5"/>
        <v>257</v>
      </c>
      <c r="J58" s="7">
        <f t="shared" si="6"/>
        <v>3</v>
      </c>
      <c r="K58" s="7">
        <f t="shared" si="7"/>
        <v>1</v>
      </c>
      <c r="L58" s="5"/>
      <c r="M58" s="5"/>
      <c r="N58" s="5"/>
      <c r="O58" s="5"/>
    </row>
    <row r="59" spans="1:15" x14ac:dyDescent="0.45">
      <c r="A59" s="7">
        <v>58</v>
      </c>
      <c r="B59" s="7">
        <v>0.58336447450199669</v>
      </c>
      <c r="C59" s="7">
        <f t="shared" ref="C59" si="63" xml:space="preserve"> VLOOKUP(B59,$M$3:$N$10, 2)</f>
        <v>5</v>
      </c>
      <c r="D59" s="7">
        <f t="shared" si="1"/>
        <v>259</v>
      </c>
      <c r="E59" s="7">
        <f t="shared" si="2"/>
        <v>259</v>
      </c>
      <c r="F59" s="7">
        <f t="shared" si="3"/>
        <v>0</v>
      </c>
      <c r="G59" s="7">
        <v>0.58336447450199669</v>
      </c>
      <c r="H59" s="7">
        <f t="shared" si="4"/>
        <v>3</v>
      </c>
      <c r="I59" s="13">
        <f t="shared" si="5"/>
        <v>262</v>
      </c>
      <c r="J59" s="7">
        <f t="shared" si="6"/>
        <v>3</v>
      </c>
      <c r="K59" s="7">
        <f t="shared" si="7"/>
        <v>2</v>
      </c>
      <c r="L59" s="5"/>
      <c r="M59" s="5"/>
      <c r="N59" s="5"/>
      <c r="O59" s="5"/>
    </row>
    <row r="60" spans="1:15" x14ac:dyDescent="0.45">
      <c r="A60" s="8">
        <v>59</v>
      </c>
      <c r="B60" s="7">
        <v>0.85017029710231817</v>
      </c>
      <c r="C60" s="7">
        <f t="shared" ref="C60" si="64">VLOOKUP(B60,$M$3:$N$10, 2)</f>
        <v>7</v>
      </c>
      <c r="D60" s="7">
        <f t="shared" si="1"/>
        <v>266</v>
      </c>
      <c r="E60" s="7">
        <f t="shared" si="2"/>
        <v>266</v>
      </c>
      <c r="F60" s="7">
        <f t="shared" si="3"/>
        <v>0</v>
      </c>
      <c r="G60" s="7">
        <v>0.85017029710231817</v>
      </c>
      <c r="H60" s="7">
        <f t="shared" si="4"/>
        <v>5</v>
      </c>
      <c r="I60" s="7">
        <f t="shared" si="5"/>
        <v>271</v>
      </c>
      <c r="J60" s="7">
        <f t="shared" si="6"/>
        <v>5</v>
      </c>
      <c r="K60" s="7">
        <f t="shared" si="7"/>
        <v>4</v>
      </c>
      <c r="L60" s="5"/>
      <c r="M60" s="5"/>
      <c r="N60" s="5"/>
      <c r="O60" s="5"/>
    </row>
    <row r="61" spans="1:15" x14ac:dyDescent="0.45">
      <c r="A61" s="7">
        <v>60</v>
      </c>
      <c r="B61" s="7">
        <v>0.26250494362952881</v>
      </c>
      <c r="C61" s="7">
        <f t="shared" ref="C61" si="65" xml:space="preserve"> VLOOKUP(B61,$M$3:$N$10, 2)</f>
        <v>3</v>
      </c>
      <c r="D61" s="7">
        <f t="shared" si="1"/>
        <v>269</v>
      </c>
      <c r="E61" s="7">
        <f t="shared" si="2"/>
        <v>271</v>
      </c>
      <c r="F61" s="7">
        <f t="shared" si="3"/>
        <v>2</v>
      </c>
      <c r="G61" s="7">
        <v>0.26250494362952881</v>
      </c>
      <c r="H61" s="7">
        <f t="shared" si="4"/>
        <v>2</v>
      </c>
      <c r="I61" s="13">
        <f t="shared" si="5"/>
        <v>273</v>
      </c>
      <c r="J61" s="7">
        <f t="shared" si="6"/>
        <v>4</v>
      </c>
      <c r="K61" s="7">
        <f t="shared" si="7"/>
        <v>0</v>
      </c>
      <c r="L61" s="5"/>
      <c r="M61" s="5"/>
      <c r="N61" s="5"/>
      <c r="O61" s="5"/>
    </row>
    <row r="62" spans="1:15" x14ac:dyDescent="0.45">
      <c r="A62" s="8">
        <v>61</v>
      </c>
      <c r="B62" s="7">
        <v>1.7430510950891986E-2</v>
      </c>
      <c r="C62" s="7">
        <f t="shared" ref="C62" si="66">VLOOKUP(B62,$M$3:$N$10, 2)</f>
        <v>1</v>
      </c>
      <c r="D62" s="7">
        <f t="shared" si="1"/>
        <v>270</v>
      </c>
      <c r="E62" s="7">
        <f t="shared" si="2"/>
        <v>273</v>
      </c>
      <c r="F62" s="7">
        <f t="shared" si="3"/>
        <v>3</v>
      </c>
      <c r="G62" s="7">
        <v>1.7430510950891986E-2</v>
      </c>
      <c r="H62" s="7">
        <f t="shared" si="4"/>
        <v>1</v>
      </c>
      <c r="I62" s="7">
        <f t="shared" si="5"/>
        <v>274</v>
      </c>
      <c r="J62" s="7">
        <f t="shared" si="6"/>
        <v>4</v>
      </c>
      <c r="K62" s="7">
        <f t="shared" si="7"/>
        <v>0</v>
      </c>
      <c r="L62" s="5"/>
      <c r="M62" s="5"/>
      <c r="N62" s="5"/>
      <c r="O62" s="5"/>
    </row>
    <row r="63" spans="1:15" x14ac:dyDescent="0.45">
      <c r="A63" s="7">
        <v>62</v>
      </c>
      <c r="B63" s="7">
        <v>0.14256769070062192</v>
      </c>
      <c r="C63" s="7">
        <f t="shared" ref="C63" si="67" xml:space="preserve"> VLOOKUP(B63,$M$3:$N$10, 2)</f>
        <v>2</v>
      </c>
      <c r="D63" s="7">
        <f t="shared" si="1"/>
        <v>272</v>
      </c>
      <c r="E63" s="7">
        <f t="shared" si="2"/>
        <v>274</v>
      </c>
      <c r="F63" s="7">
        <f t="shared" si="3"/>
        <v>2</v>
      </c>
      <c r="G63" s="7">
        <v>0.14256769070062192</v>
      </c>
      <c r="H63" s="7">
        <f t="shared" si="4"/>
        <v>2</v>
      </c>
      <c r="I63" s="13">
        <f t="shared" si="5"/>
        <v>276</v>
      </c>
      <c r="J63" s="7">
        <f t="shared" si="6"/>
        <v>4</v>
      </c>
      <c r="K63" s="7">
        <f t="shared" si="7"/>
        <v>0</v>
      </c>
      <c r="L63" s="5"/>
      <c r="M63" s="5"/>
      <c r="N63" s="5"/>
      <c r="O63" s="5"/>
    </row>
    <row r="64" spans="1:15" x14ac:dyDescent="0.45">
      <c r="A64" s="8">
        <v>63</v>
      </c>
      <c r="B64" s="7">
        <v>0.60043048847418723</v>
      </c>
      <c r="C64" s="7">
        <f t="shared" ref="C64" si="68">VLOOKUP(B64,$M$3:$N$10, 2)</f>
        <v>5</v>
      </c>
      <c r="D64" s="7">
        <f t="shared" si="1"/>
        <v>277</v>
      </c>
      <c r="E64" s="7">
        <f t="shared" si="2"/>
        <v>277</v>
      </c>
      <c r="F64" s="7">
        <f t="shared" si="3"/>
        <v>0</v>
      </c>
      <c r="G64" s="7">
        <v>0.60043048847418723</v>
      </c>
      <c r="H64" s="7">
        <f t="shared" si="4"/>
        <v>4</v>
      </c>
      <c r="I64" s="7">
        <f t="shared" si="5"/>
        <v>281</v>
      </c>
      <c r="J64" s="7">
        <f t="shared" si="6"/>
        <v>4</v>
      </c>
      <c r="K64" s="7">
        <f t="shared" si="7"/>
        <v>1</v>
      </c>
      <c r="L64" s="5"/>
      <c r="M64" s="5"/>
      <c r="N64" s="5"/>
      <c r="O64" s="5"/>
    </row>
    <row r="65" spans="1:15" x14ac:dyDescent="0.45">
      <c r="A65" s="7">
        <v>64</v>
      </c>
      <c r="B65" s="7">
        <v>1.3662829877589266E-2</v>
      </c>
      <c r="C65" s="7">
        <f t="shared" ref="C65" si="69" xml:space="preserve"> VLOOKUP(B65,$M$3:$N$10, 2)</f>
        <v>1</v>
      </c>
      <c r="D65" s="7">
        <f t="shared" si="1"/>
        <v>278</v>
      </c>
      <c r="E65" s="7">
        <f t="shared" si="2"/>
        <v>281</v>
      </c>
      <c r="F65" s="7">
        <f t="shared" si="3"/>
        <v>3</v>
      </c>
      <c r="G65" s="7">
        <v>1.3662829877589266E-2</v>
      </c>
      <c r="H65" s="7">
        <f t="shared" si="4"/>
        <v>1</v>
      </c>
      <c r="I65" s="13">
        <f t="shared" si="5"/>
        <v>282</v>
      </c>
      <c r="J65" s="7">
        <f t="shared" si="6"/>
        <v>4</v>
      </c>
      <c r="K65" s="7">
        <f t="shared" si="7"/>
        <v>0</v>
      </c>
      <c r="L65" s="5"/>
      <c r="M65" s="5"/>
      <c r="N65" s="5"/>
      <c r="O65" s="5"/>
    </row>
    <row r="66" spans="1:15" x14ac:dyDescent="0.45">
      <c r="A66" s="8">
        <v>65</v>
      </c>
      <c r="B66" s="7">
        <v>0.58560489640519287</v>
      </c>
      <c r="C66" s="7">
        <f t="shared" ref="C66" si="70">VLOOKUP(B66,$M$3:$N$10, 2)</f>
        <v>5</v>
      </c>
      <c r="D66" s="7">
        <f t="shared" si="1"/>
        <v>283</v>
      </c>
      <c r="E66" s="7">
        <f t="shared" si="2"/>
        <v>283</v>
      </c>
      <c r="F66" s="7">
        <f t="shared" si="3"/>
        <v>0</v>
      </c>
      <c r="G66" s="7">
        <v>0.58560489640519287</v>
      </c>
      <c r="H66" s="7">
        <f t="shared" si="4"/>
        <v>3</v>
      </c>
      <c r="I66" s="7">
        <f t="shared" si="5"/>
        <v>286</v>
      </c>
      <c r="J66" s="7">
        <f t="shared" si="6"/>
        <v>3</v>
      </c>
      <c r="K66" s="7">
        <f t="shared" si="7"/>
        <v>1</v>
      </c>
      <c r="L66" s="5"/>
      <c r="M66" s="5"/>
      <c r="N66" s="5"/>
      <c r="O66" s="5"/>
    </row>
    <row r="67" spans="1:15" x14ac:dyDescent="0.45">
      <c r="A67" s="7">
        <v>66</v>
      </c>
      <c r="B67" s="7">
        <v>0.64532397042489165</v>
      </c>
      <c r="C67" s="7">
        <f t="shared" ref="C67" si="71" xml:space="preserve"> VLOOKUP(B67,$M$3:$N$10, 2)</f>
        <v>6</v>
      </c>
      <c r="D67" s="7">
        <f t="shared" si="1"/>
        <v>289</v>
      </c>
      <c r="E67" s="7">
        <f t="shared" si="2"/>
        <v>289</v>
      </c>
      <c r="F67" s="7">
        <f t="shared" si="3"/>
        <v>0</v>
      </c>
      <c r="G67" s="7">
        <v>0.64532397042489165</v>
      </c>
      <c r="H67" s="7">
        <f t="shared" si="4"/>
        <v>4</v>
      </c>
      <c r="I67" s="13">
        <f t="shared" si="5"/>
        <v>293</v>
      </c>
      <c r="J67" s="7">
        <f t="shared" si="6"/>
        <v>4</v>
      </c>
      <c r="K67" s="7">
        <f t="shared" si="7"/>
        <v>3</v>
      </c>
      <c r="L67" s="5"/>
      <c r="M67" s="5"/>
      <c r="N67" s="5"/>
      <c r="O67" s="5"/>
    </row>
    <row r="68" spans="1:15" x14ac:dyDescent="0.45">
      <c r="A68" s="8">
        <v>67</v>
      </c>
      <c r="B68" s="7">
        <v>0.40789214077756442</v>
      </c>
      <c r="C68" s="7">
        <f t="shared" ref="C68" si="72">VLOOKUP(B68,$M$3:$N$10, 2)</f>
        <v>4</v>
      </c>
      <c r="D68" s="7">
        <f t="shared" ref="D68:D101" si="73">D67+C68</f>
        <v>293</v>
      </c>
      <c r="E68" s="7">
        <f t="shared" ref="E68:E101" si="74">MAX(I67,D68)</f>
        <v>293</v>
      </c>
      <c r="F68" s="7">
        <f t="shared" ref="F68:F101" si="75">E68-D68</f>
        <v>0</v>
      </c>
      <c r="G68" s="7">
        <v>0.40789214077756442</v>
      </c>
      <c r="H68" s="7">
        <f t="shared" ref="H68:H101" si="76">VLOOKUP(G68,$M$15:$N$20,2)</f>
        <v>3</v>
      </c>
      <c r="I68" s="7">
        <f t="shared" ref="I68:I101" si="77">E68+H68</f>
        <v>296</v>
      </c>
      <c r="J68" s="7">
        <f t="shared" ref="J68:J101" si="78">I68-D68</f>
        <v>3</v>
      </c>
      <c r="K68" s="7">
        <f t="shared" ref="K68:K102" si="79">MAX(E68-I67,0)</f>
        <v>0</v>
      </c>
      <c r="L68" s="5"/>
      <c r="M68" s="5"/>
      <c r="N68" s="5"/>
      <c r="O68" s="5"/>
    </row>
    <row r="69" spans="1:15" x14ac:dyDescent="0.45">
      <c r="A69" s="7">
        <v>68</v>
      </c>
      <c r="B69" s="7">
        <v>3.3127849676559129E-2</v>
      </c>
      <c r="C69" s="7">
        <f t="shared" ref="C69" si="80" xml:space="preserve"> VLOOKUP(B69,$M$3:$N$10, 2)</f>
        <v>1</v>
      </c>
      <c r="D69" s="7">
        <f t="shared" si="73"/>
        <v>294</v>
      </c>
      <c r="E69" s="7">
        <f t="shared" si="74"/>
        <v>296</v>
      </c>
      <c r="F69" s="7">
        <f t="shared" si="75"/>
        <v>2</v>
      </c>
      <c r="G69" s="7">
        <v>3.3127849676559129E-2</v>
      </c>
      <c r="H69" s="7">
        <f t="shared" si="76"/>
        <v>1</v>
      </c>
      <c r="I69" s="13">
        <f t="shared" si="77"/>
        <v>297</v>
      </c>
      <c r="J69" s="7">
        <f t="shared" si="78"/>
        <v>3</v>
      </c>
      <c r="K69" s="7">
        <f t="shared" si="79"/>
        <v>0</v>
      </c>
      <c r="L69" s="5"/>
      <c r="M69" s="5"/>
      <c r="N69" s="5"/>
      <c r="O69" s="5"/>
    </row>
    <row r="70" spans="1:15" x14ac:dyDescent="0.45">
      <c r="A70" s="8">
        <v>69</v>
      </c>
      <c r="B70" s="7">
        <v>1.9344629352485376E-2</v>
      </c>
      <c r="C70" s="7">
        <f t="shared" ref="C70" si="81">VLOOKUP(B70,$M$3:$N$10, 2)</f>
        <v>1</v>
      </c>
      <c r="D70" s="7">
        <f t="shared" si="73"/>
        <v>295</v>
      </c>
      <c r="E70" s="7">
        <f t="shared" si="74"/>
        <v>297</v>
      </c>
      <c r="F70" s="7">
        <f t="shared" si="75"/>
        <v>2</v>
      </c>
      <c r="G70" s="7">
        <v>1.9344629352485376E-2</v>
      </c>
      <c r="H70" s="7">
        <f t="shared" si="76"/>
        <v>1</v>
      </c>
      <c r="I70" s="7">
        <f t="shared" si="77"/>
        <v>298</v>
      </c>
      <c r="J70" s="7">
        <f t="shared" si="78"/>
        <v>3</v>
      </c>
      <c r="K70" s="7">
        <f t="shared" si="79"/>
        <v>0</v>
      </c>
      <c r="L70" s="5"/>
      <c r="M70" s="5"/>
      <c r="N70" s="5"/>
      <c r="O70" s="5"/>
    </row>
    <row r="71" spans="1:15" x14ac:dyDescent="0.45">
      <c r="A71" s="7">
        <v>70</v>
      </c>
      <c r="B71" s="7">
        <v>0.77524640237566289</v>
      </c>
      <c r="C71" s="7">
        <f t="shared" ref="C71" si="82" xml:space="preserve"> VLOOKUP(B71,$M$3:$N$10, 2)</f>
        <v>7</v>
      </c>
      <c r="D71" s="7">
        <f t="shared" si="73"/>
        <v>302</v>
      </c>
      <c r="E71" s="7">
        <f t="shared" si="74"/>
        <v>302</v>
      </c>
      <c r="F71" s="7">
        <f t="shared" si="75"/>
        <v>0</v>
      </c>
      <c r="G71" s="7">
        <v>0.77524640237566289</v>
      </c>
      <c r="H71" s="7">
        <f t="shared" si="76"/>
        <v>4</v>
      </c>
      <c r="I71" s="13">
        <f t="shared" si="77"/>
        <v>306</v>
      </c>
      <c r="J71" s="7">
        <f t="shared" si="78"/>
        <v>4</v>
      </c>
      <c r="K71" s="7">
        <f t="shared" si="79"/>
        <v>4</v>
      </c>
      <c r="L71" s="5"/>
      <c r="M71" s="5"/>
      <c r="N71" s="5"/>
      <c r="O71" s="5"/>
    </row>
    <row r="72" spans="1:15" x14ac:dyDescent="0.45">
      <c r="A72" s="8">
        <v>71</v>
      </c>
      <c r="B72" s="7">
        <v>0.2372152787996521</v>
      </c>
      <c r="C72" s="7">
        <f t="shared" ref="C72" si="83">VLOOKUP(B72,$M$3:$N$10, 2)</f>
        <v>2</v>
      </c>
      <c r="D72" s="7">
        <f t="shared" si="73"/>
        <v>304</v>
      </c>
      <c r="E72" s="7">
        <f t="shared" si="74"/>
        <v>306</v>
      </c>
      <c r="F72" s="7">
        <f t="shared" si="75"/>
        <v>2</v>
      </c>
      <c r="G72" s="7">
        <v>0.2372152787996521</v>
      </c>
      <c r="H72" s="7">
        <f t="shared" si="76"/>
        <v>2</v>
      </c>
      <c r="I72" s="7">
        <f t="shared" si="77"/>
        <v>308</v>
      </c>
      <c r="J72" s="7">
        <f t="shared" si="78"/>
        <v>4</v>
      </c>
      <c r="K72" s="7">
        <f t="shared" si="79"/>
        <v>0</v>
      </c>
      <c r="L72" s="5"/>
      <c r="M72" s="5"/>
      <c r="N72" s="5"/>
      <c r="O72" s="5"/>
    </row>
    <row r="73" spans="1:15" x14ac:dyDescent="0.45">
      <c r="A73" s="7">
        <v>72</v>
      </c>
      <c r="B73" s="7">
        <v>0.95089340833107139</v>
      </c>
      <c r="C73" s="7">
        <f t="shared" ref="C73" si="84" xml:space="preserve"> VLOOKUP(B73,$M$3:$N$10, 2)</f>
        <v>8</v>
      </c>
      <c r="D73" s="7">
        <f t="shared" si="73"/>
        <v>312</v>
      </c>
      <c r="E73" s="7">
        <f t="shared" si="74"/>
        <v>312</v>
      </c>
      <c r="F73" s="7">
        <f t="shared" si="75"/>
        <v>0</v>
      </c>
      <c r="G73" s="7">
        <v>0.95089340833107139</v>
      </c>
      <c r="H73" s="7">
        <f t="shared" si="76"/>
        <v>6</v>
      </c>
      <c r="I73" s="13">
        <f t="shared" si="77"/>
        <v>318</v>
      </c>
      <c r="J73" s="7">
        <f t="shared" si="78"/>
        <v>6</v>
      </c>
      <c r="K73" s="7">
        <f t="shared" si="79"/>
        <v>4</v>
      </c>
      <c r="L73" s="5"/>
      <c r="M73" s="5"/>
      <c r="N73" s="5"/>
      <c r="O73" s="5"/>
    </row>
    <row r="74" spans="1:15" x14ac:dyDescent="0.45">
      <c r="A74" s="8">
        <v>73</v>
      </c>
      <c r="B74" s="7">
        <v>0.62752700906330872</v>
      </c>
      <c r="C74" s="7">
        <f t="shared" ref="C74" si="85">VLOOKUP(B74,$M$3:$N$10, 2)</f>
        <v>6</v>
      </c>
      <c r="D74" s="7">
        <f t="shared" si="73"/>
        <v>318</v>
      </c>
      <c r="E74" s="7">
        <f t="shared" si="74"/>
        <v>318</v>
      </c>
      <c r="F74" s="7">
        <f t="shared" si="75"/>
        <v>0</v>
      </c>
      <c r="G74" s="7">
        <v>0.62752700906330872</v>
      </c>
      <c r="H74" s="7">
        <f t="shared" si="76"/>
        <v>4</v>
      </c>
      <c r="I74" s="7">
        <f t="shared" si="77"/>
        <v>322</v>
      </c>
      <c r="J74" s="7">
        <f t="shared" si="78"/>
        <v>4</v>
      </c>
      <c r="K74" s="7">
        <f t="shared" si="79"/>
        <v>0</v>
      </c>
      <c r="L74" s="5"/>
      <c r="M74" s="5"/>
      <c r="N74" s="5"/>
      <c r="O74" s="5"/>
    </row>
    <row r="75" spans="1:15" x14ac:dyDescent="0.45">
      <c r="A75" s="7">
        <v>74</v>
      </c>
      <c r="B75" s="7">
        <v>0.326692800156966</v>
      </c>
      <c r="C75" s="7">
        <f t="shared" ref="C75" si="86" xml:space="preserve"> VLOOKUP(B75,$M$3:$N$10, 2)</f>
        <v>3</v>
      </c>
      <c r="D75" s="7">
        <f t="shared" si="73"/>
        <v>321</v>
      </c>
      <c r="E75" s="7">
        <f t="shared" si="74"/>
        <v>322</v>
      </c>
      <c r="F75" s="7">
        <f t="shared" si="75"/>
        <v>1</v>
      </c>
      <c r="G75" s="7">
        <v>0.326692800156966</v>
      </c>
      <c r="H75" s="7">
        <f t="shared" si="76"/>
        <v>3</v>
      </c>
      <c r="I75" s="13">
        <f t="shared" si="77"/>
        <v>325</v>
      </c>
      <c r="J75" s="7">
        <f t="shared" si="78"/>
        <v>4</v>
      </c>
      <c r="K75" s="7">
        <f t="shared" si="79"/>
        <v>0</v>
      </c>
      <c r="L75" s="5"/>
      <c r="M75" s="5"/>
      <c r="N75" s="5"/>
      <c r="O75" s="5"/>
    </row>
    <row r="76" spans="1:15" x14ac:dyDescent="0.45">
      <c r="A76" s="8">
        <v>75</v>
      </c>
      <c r="B76" s="7">
        <v>0.80571613818899379</v>
      </c>
      <c r="C76" s="7">
        <f t="shared" ref="C76" si="87">VLOOKUP(B76,$M$3:$N$10, 2)</f>
        <v>7</v>
      </c>
      <c r="D76" s="7">
        <f t="shared" si="73"/>
        <v>328</v>
      </c>
      <c r="E76" s="7">
        <f t="shared" si="74"/>
        <v>328</v>
      </c>
      <c r="F76" s="7">
        <f t="shared" si="75"/>
        <v>0</v>
      </c>
      <c r="G76" s="7">
        <v>0.80571613818899379</v>
      </c>
      <c r="H76" s="7">
        <f t="shared" si="76"/>
        <v>4</v>
      </c>
      <c r="I76" s="7">
        <f t="shared" si="77"/>
        <v>332</v>
      </c>
      <c r="J76" s="7">
        <f t="shared" si="78"/>
        <v>4</v>
      </c>
      <c r="K76" s="7">
        <f t="shared" si="79"/>
        <v>3</v>
      </c>
      <c r="L76" s="5"/>
      <c r="M76" s="5"/>
      <c r="N76" s="5"/>
      <c r="O76" s="5"/>
    </row>
    <row r="77" spans="1:15" x14ac:dyDescent="0.45">
      <c r="A77" s="7">
        <v>76</v>
      </c>
      <c r="B77" s="7">
        <v>0.44013290359664359</v>
      </c>
      <c r="C77" s="7">
        <f t="shared" ref="C77" si="88" xml:space="preserve"> VLOOKUP(B77,$M$3:$N$10, 2)</f>
        <v>4</v>
      </c>
      <c r="D77" s="7">
        <f t="shared" si="73"/>
        <v>332</v>
      </c>
      <c r="E77" s="7">
        <f t="shared" si="74"/>
        <v>332</v>
      </c>
      <c r="F77" s="7">
        <f t="shared" si="75"/>
        <v>0</v>
      </c>
      <c r="G77" s="7">
        <v>0.44013290359664359</v>
      </c>
      <c r="H77" s="7">
        <f t="shared" si="76"/>
        <v>3</v>
      </c>
      <c r="I77" s="13">
        <f t="shared" si="77"/>
        <v>335</v>
      </c>
      <c r="J77" s="7">
        <f t="shared" si="78"/>
        <v>3</v>
      </c>
      <c r="K77" s="7">
        <f t="shared" si="79"/>
        <v>0</v>
      </c>
      <c r="L77" s="5"/>
      <c r="M77" s="5"/>
      <c r="N77" s="5"/>
      <c r="O77" s="5"/>
    </row>
    <row r="78" spans="1:15" x14ac:dyDescent="0.45">
      <c r="A78" s="8">
        <v>77</v>
      </c>
      <c r="B78" s="7">
        <v>0.21944057171950804</v>
      </c>
      <c r="C78" s="7">
        <f t="shared" ref="C78" si="89">VLOOKUP(B78,$M$3:$N$10, 2)</f>
        <v>2</v>
      </c>
      <c r="D78" s="7">
        <f t="shared" si="73"/>
        <v>334</v>
      </c>
      <c r="E78" s="7">
        <f t="shared" si="74"/>
        <v>335</v>
      </c>
      <c r="F78" s="7">
        <f t="shared" si="75"/>
        <v>1</v>
      </c>
      <c r="G78" s="7">
        <v>0.21944057171950804</v>
      </c>
      <c r="H78" s="7">
        <f t="shared" si="76"/>
        <v>2</v>
      </c>
      <c r="I78" s="7">
        <f t="shared" si="77"/>
        <v>337</v>
      </c>
      <c r="J78" s="7">
        <f t="shared" si="78"/>
        <v>3</v>
      </c>
      <c r="K78" s="7">
        <f t="shared" si="79"/>
        <v>0</v>
      </c>
      <c r="L78" s="5"/>
      <c r="M78" s="5"/>
      <c r="N78" s="5"/>
      <c r="O78" s="5"/>
    </row>
    <row r="79" spans="1:15" x14ac:dyDescent="0.45">
      <c r="A79" s="7">
        <v>78</v>
      </c>
      <c r="B79" s="7">
        <v>0.29620233557457787</v>
      </c>
      <c r="C79" s="7">
        <f t="shared" ref="C79" si="90" xml:space="preserve"> VLOOKUP(B79,$M$3:$N$10, 2)</f>
        <v>3</v>
      </c>
      <c r="D79" s="7">
        <f t="shared" si="73"/>
        <v>337</v>
      </c>
      <c r="E79" s="7">
        <f t="shared" si="74"/>
        <v>337</v>
      </c>
      <c r="F79" s="7">
        <f t="shared" si="75"/>
        <v>0</v>
      </c>
      <c r="G79" s="7">
        <v>0.29620233557457787</v>
      </c>
      <c r="H79" s="7">
        <f t="shared" si="76"/>
        <v>2</v>
      </c>
      <c r="I79" s="13">
        <f t="shared" si="77"/>
        <v>339</v>
      </c>
      <c r="J79" s="7">
        <f t="shared" si="78"/>
        <v>2</v>
      </c>
      <c r="K79" s="7">
        <f t="shared" si="79"/>
        <v>0</v>
      </c>
      <c r="L79" s="5"/>
      <c r="M79" s="5"/>
      <c r="N79" s="5"/>
      <c r="O79" s="5"/>
    </row>
    <row r="80" spans="1:15" x14ac:dyDescent="0.45">
      <c r="A80" s="8">
        <v>79</v>
      </c>
      <c r="B80" s="7">
        <v>0.57911270012246285</v>
      </c>
      <c r="C80" s="7">
        <f t="shared" ref="C80" si="91">VLOOKUP(B80,$M$3:$N$10, 2)</f>
        <v>5</v>
      </c>
      <c r="D80" s="7">
        <f t="shared" si="73"/>
        <v>342</v>
      </c>
      <c r="E80" s="7">
        <f t="shared" si="74"/>
        <v>342</v>
      </c>
      <c r="F80" s="7">
        <f t="shared" si="75"/>
        <v>0</v>
      </c>
      <c r="G80" s="7">
        <v>0.57911270012246285</v>
      </c>
      <c r="H80" s="7">
        <f t="shared" si="76"/>
        <v>3</v>
      </c>
      <c r="I80" s="7">
        <f t="shared" si="77"/>
        <v>345</v>
      </c>
      <c r="J80" s="7">
        <f t="shared" si="78"/>
        <v>3</v>
      </c>
      <c r="K80" s="7">
        <f t="shared" si="79"/>
        <v>3</v>
      </c>
      <c r="L80" s="5"/>
      <c r="M80" s="5"/>
      <c r="N80" s="5"/>
      <c r="O80" s="5"/>
    </row>
    <row r="81" spans="1:15" x14ac:dyDescent="0.45">
      <c r="A81" s="7">
        <v>80</v>
      </c>
      <c r="B81" s="7">
        <v>0.90207519951553417</v>
      </c>
      <c r="C81" s="7">
        <f t="shared" ref="C81" si="92" xml:space="preserve"> VLOOKUP(B81,$M$3:$N$10, 2)</f>
        <v>8</v>
      </c>
      <c r="D81" s="7">
        <f t="shared" si="73"/>
        <v>350</v>
      </c>
      <c r="E81" s="7">
        <f t="shared" si="74"/>
        <v>350</v>
      </c>
      <c r="F81" s="7">
        <f t="shared" si="75"/>
        <v>0</v>
      </c>
      <c r="G81" s="7">
        <v>0.90207519951553417</v>
      </c>
      <c r="H81" s="7">
        <f t="shared" si="76"/>
        <v>5</v>
      </c>
      <c r="I81" s="13">
        <f t="shared" si="77"/>
        <v>355</v>
      </c>
      <c r="J81" s="7">
        <f t="shared" si="78"/>
        <v>5</v>
      </c>
      <c r="K81" s="7">
        <f t="shared" si="79"/>
        <v>5</v>
      </c>
      <c r="L81" s="5"/>
      <c r="M81" s="5"/>
      <c r="N81" s="5"/>
      <c r="O81" s="5"/>
    </row>
    <row r="82" spans="1:15" x14ac:dyDescent="0.45">
      <c r="A82" s="8">
        <v>81</v>
      </c>
      <c r="B82" s="7">
        <v>0.30694679838584893</v>
      </c>
      <c r="C82" s="7">
        <f t="shared" ref="C82" si="93">VLOOKUP(B82,$M$3:$N$10, 2)</f>
        <v>3</v>
      </c>
      <c r="D82" s="7">
        <f t="shared" si="73"/>
        <v>353</v>
      </c>
      <c r="E82" s="7">
        <f t="shared" si="74"/>
        <v>355</v>
      </c>
      <c r="F82" s="7">
        <f t="shared" si="75"/>
        <v>2</v>
      </c>
      <c r="G82" s="7">
        <v>0.30694679838584893</v>
      </c>
      <c r="H82" s="7">
        <f t="shared" si="76"/>
        <v>3</v>
      </c>
      <c r="I82" s="7">
        <f t="shared" si="77"/>
        <v>358</v>
      </c>
      <c r="J82" s="7">
        <f t="shared" si="78"/>
        <v>5</v>
      </c>
      <c r="K82" s="7">
        <f t="shared" si="79"/>
        <v>0</v>
      </c>
      <c r="L82" s="5"/>
      <c r="M82" s="5"/>
      <c r="N82" s="5"/>
      <c r="O82" s="5"/>
    </row>
    <row r="83" spans="1:15" x14ac:dyDescent="0.45">
      <c r="A83" s="7">
        <v>82</v>
      </c>
      <c r="B83" s="7">
        <v>0.27118093242886565</v>
      </c>
      <c r="C83" s="7">
        <f t="shared" ref="C83" si="94" xml:space="preserve"> VLOOKUP(B83,$M$3:$N$10, 2)</f>
        <v>3</v>
      </c>
      <c r="D83" s="7">
        <f t="shared" si="73"/>
        <v>356</v>
      </c>
      <c r="E83" s="7">
        <f t="shared" si="74"/>
        <v>358</v>
      </c>
      <c r="F83" s="7">
        <f t="shared" si="75"/>
        <v>2</v>
      </c>
      <c r="G83" s="7">
        <v>0.27118093242886565</v>
      </c>
      <c r="H83" s="7">
        <f t="shared" si="76"/>
        <v>2</v>
      </c>
      <c r="I83" s="13">
        <f t="shared" si="77"/>
        <v>360</v>
      </c>
      <c r="J83" s="7">
        <f t="shared" si="78"/>
        <v>4</v>
      </c>
      <c r="K83" s="7">
        <f t="shared" si="79"/>
        <v>0</v>
      </c>
      <c r="L83" s="5"/>
      <c r="M83" s="5"/>
      <c r="N83" s="5"/>
      <c r="O83" s="5"/>
    </row>
    <row r="84" spans="1:15" x14ac:dyDescent="0.45">
      <c r="A84" s="8">
        <v>83</v>
      </c>
      <c r="B84" s="7">
        <v>0.4186207727148259</v>
      </c>
      <c r="C84" s="7">
        <f t="shared" ref="C84" si="95">VLOOKUP(B84,$M$3:$N$10, 2)</f>
        <v>4</v>
      </c>
      <c r="D84" s="7">
        <f t="shared" si="73"/>
        <v>360</v>
      </c>
      <c r="E84" s="7">
        <f t="shared" si="74"/>
        <v>360</v>
      </c>
      <c r="F84" s="7">
        <f t="shared" si="75"/>
        <v>0</v>
      </c>
      <c r="G84" s="7">
        <v>0.4186207727148259</v>
      </c>
      <c r="H84" s="7">
        <f t="shared" si="76"/>
        <v>3</v>
      </c>
      <c r="I84" s="7">
        <f t="shared" si="77"/>
        <v>363</v>
      </c>
      <c r="J84" s="7">
        <f t="shared" si="78"/>
        <v>3</v>
      </c>
      <c r="K84" s="7">
        <f t="shared" si="79"/>
        <v>0</v>
      </c>
      <c r="L84" s="5"/>
      <c r="M84" s="5"/>
      <c r="N84" s="5"/>
      <c r="O84" s="5"/>
    </row>
    <row r="85" spans="1:15" x14ac:dyDescent="0.45">
      <c r="A85" s="7">
        <v>84</v>
      </c>
      <c r="B85" s="7">
        <v>0.36570357231392681</v>
      </c>
      <c r="C85" s="7">
        <f t="shared" ref="C85" si="96" xml:space="preserve"> VLOOKUP(B85,$M$3:$N$10, 2)</f>
        <v>3</v>
      </c>
      <c r="D85" s="7">
        <f t="shared" si="73"/>
        <v>363</v>
      </c>
      <c r="E85" s="7">
        <f t="shared" si="74"/>
        <v>363</v>
      </c>
      <c r="F85" s="7">
        <f t="shared" si="75"/>
        <v>0</v>
      </c>
      <c r="G85" s="7">
        <v>0.36570357231392681</v>
      </c>
      <c r="H85" s="7">
        <f t="shared" si="76"/>
        <v>3</v>
      </c>
      <c r="I85" s="13">
        <f t="shared" si="77"/>
        <v>366</v>
      </c>
      <c r="J85" s="7">
        <f t="shared" si="78"/>
        <v>3</v>
      </c>
      <c r="K85" s="7">
        <f t="shared" si="79"/>
        <v>0</v>
      </c>
      <c r="L85" s="5"/>
      <c r="M85" s="5"/>
      <c r="N85" s="5"/>
      <c r="O85" s="5"/>
    </row>
    <row r="86" spans="1:15" x14ac:dyDescent="0.45">
      <c r="A86" s="8">
        <v>85</v>
      </c>
      <c r="B86" s="7">
        <v>4.555963147929154E-2</v>
      </c>
      <c r="C86" s="7">
        <f t="shared" ref="C86" si="97">VLOOKUP(B86,$M$3:$N$10, 2)</f>
        <v>1</v>
      </c>
      <c r="D86" s="7">
        <f t="shared" si="73"/>
        <v>364</v>
      </c>
      <c r="E86" s="7">
        <f t="shared" si="74"/>
        <v>366</v>
      </c>
      <c r="F86" s="7">
        <f t="shared" si="75"/>
        <v>2</v>
      </c>
      <c r="G86" s="7">
        <v>4.555963147929154E-2</v>
      </c>
      <c r="H86" s="7">
        <f t="shared" si="76"/>
        <v>1</v>
      </c>
      <c r="I86" s="7">
        <f t="shared" si="77"/>
        <v>367</v>
      </c>
      <c r="J86" s="7">
        <f t="shared" si="78"/>
        <v>3</v>
      </c>
      <c r="K86" s="7">
        <f t="shared" si="79"/>
        <v>0</v>
      </c>
      <c r="L86" s="5"/>
      <c r="M86" s="5"/>
      <c r="N86" s="5"/>
      <c r="O86" s="5"/>
    </row>
    <row r="87" spans="1:15" x14ac:dyDescent="0.45">
      <c r="A87" s="7">
        <v>86</v>
      </c>
      <c r="B87" s="7">
        <v>0.51881697782200009</v>
      </c>
      <c r="C87" s="7">
        <f t="shared" ref="C87" si="98" xml:space="preserve"> VLOOKUP(B87,$M$3:$N$10, 2)</f>
        <v>5</v>
      </c>
      <c r="D87" s="7">
        <f t="shared" si="73"/>
        <v>369</v>
      </c>
      <c r="E87" s="7">
        <f t="shared" si="74"/>
        <v>369</v>
      </c>
      <c r="F87" s="7">
        <f t="shared" si="75"/>
        <v>0</v>
      </c>
      <c r="G87" s="7">
        <v>0.51881697782200009</v>
      </c>
      <c r="H87" s="7">
        <f t="shared" si="76"/>
        <v>3</v>
      </c>
      <c r="I87" s="13">
        <f t="shared" si="77"/>
        <v>372</v>
      </c>
      <c r="J87" s="7">
        <f t="shared" si="78"/>
        <v>3</v>
      </c>
      <c r="K87" s="7">
        <f t="shared" si="79"/>
        <v>2</v>
      </c>
      <c r="L87" s="5"/>
      <c r="M87" s="5"/>
      <c r="N87" s="5"/>
      <c r="O87" s="5"/>
    </row>
    <row r="88" spans="1:15" x14ac:dyDescent="0.45">
      <c r="A88" s="8">
        <v>87</v>
      </c>
      <c r="B88" s="7">
        <v>0.11193117732969926</v>
      </c>
      <c r="C88" s="7">
        <f t="shared" ref="C88" si="99">VLOOKUP(B88,$M$3:$N$10, 2)</f>
        <v>1</v>
      </c>
      <c r="D88" s="7">
        <f t="shared" si="73"/>
        <v>370</v>
      </c>
      <c r="E88" s="7">
        <f t="shared" si="74"/>
        <v>372</v>
      </c>
      <c r="F88" s="7">
        <f t="shared" si="75"/>
        <v>2</v>
      </c>
      <c r="G88" s="7">
        <v>0.11193117732969926</v>
      </c>
      <c r="H88" s="7">
        <f t="shared" si="76"/>
        <v>2</v>
      </c>
      <c r="I88" s="7">
        <f t="shared" si="77"/>
        <v>374</v>
      </c>
      <c r="J88" s="7">
        <f t="shared" si="78"/>
        <v>4</v>
      </c>
      <c r="K88" s="7">
        <f t="shared" si="79"/>
        <v>0</v>
      </c>
      <c r="L88" s="5"/>
      <c r="M88" s="5"/>
      <c r="N88" s="5"/>
      <c r="O88" s="5"/>
    </row>
    <row r="89" spans="1:15" x14ac:dyDescent="0.45">
      <c r="A89" s="7">
        <v>88</v>
      </c>
      <c r="B89" s="7">
        <v>0.16476844813721092</v>
      </c>
      <c r="C89" s="7">
        <f t="shared" ref="C89" si="100" xml:space="preserve"> VLOOKUP(B89,$M$3:$N$10, 2)</f>
        <v>2</v>
      </c>
      <c r="D89" s="7">
        <f t="shared" si="73"/>
        <v>372</v>
      </c>
      <c r="E89" s="7">
        <f t="shared" si="74"/>
        <v>374</v>
      </c>
      <c r="F89" s="7">
        <f t="shared" si="75"/>
        <v>2</v>
      </c>
      <c r="G89" s="7">
        <v>0.16476844813721092</v>
      </c>
      <c r="H89" s="7">
        <f t="shared" si="76"/>
        <v>2</v>
      </c>
      <c r="I89" s="13">
        <f t="shared" si="77"/>
        <v>376</v>
      </c>
      <c r="J89" s="7">
        <f t="shared" si="78"/>
        <v>4</v>
      </c>
      <c r="K89" s="7">
        <f t="shared" si="79"/>
        <v>0</v>
      </c>
      <c r="L89" s="5"/>
      <c r="M89" s="5"/>
      <c r="N89" s="5"/>
      <c r="O89" s="5"/>
    </row>
    <row r="90" spans="1:15" x14ac:dyDescent="0.45">
      <c r="A90" s="8">
        <v>89</v>
      </c>
      <c r="B90" s="7">
        <v>0.81234546623500758</v>
      </c>
      <c r="C90" s="7">
        <f t="shared" ref="C90" si="101">VLOOKUP(B90,$M$3:$N$10, 2)</f>
        <v>7</v>
      </c>
      <c r="D90" s="7">
        <f t="shared" si="73"/>
        <v>379</v>
      </c>
      <c r="E90" s="7">
        <f t="shared" si="74"/>
        <v>379</v>
      </c>
      <c r="F90" s="7">
        <f t="shared" si="75"/>
        <v>0</v>
      </c>
      <c r="G90" s="7">
        <v>0.81234546623500758</v>
      </c>
      <c r="H90" s="7">
        <f t="shared" si="76"/>
        <v>4</v>
      </c>
      <c r="I90" s="7">
        <f t="shared" si="77"/>
        <v>383</v>
      </c>
      <c r="J90" s="7">
        <f t="shared" si="78"/>
        <v>4</v>
      </c>
      <c r="K90" s="7">
        <f t="shared" si="79"/>
        <v>3</v>
      </c>
      <c r="L90" s="5"/>
      <c r="M90" s="5"/>
      <c r="N90" s="5"/>
      <c r="O90" s="5"/>
    </row>
    <row r="91" spans="1:15" x14ac:dyDescent="0.45">
      <c r="A91" s="7">
        <v>90</v>
      </c>
      <c r="B91" s="7">
        <v>0.64140912995742172</v>
      </c>
      <c r="C91" s="7">
        <f t="shared" ref="C91" si="102" xml:space="preserve"> VLOOKUP(B91,$M$3:$N$10, 2)</f>
        <v>6</v>
      </c>
      <c r="D91" s="7">
        <f t="shared" si="73"/>
        <v>385</v>
      </c>
      <c r="E91" s="7">
        <f t="shared" si="74"/>
        <v>385</v>
      </c>
      <c r="F91" s="7">
        <f t="shared" si="75"/>
        <v>0</v>
      </c>
      <c r="G91" s="7">
        <v>0.64140912995742172</v>
      </c>
      <c r="H91" s="7">
        <f t="shared" si="76"/>
        <v>4</v>
      </c>
      <c r="I91" s="13">
        <f t="shared" si="77"/>
        <v>389</v>
      </c>
      <c r="J91" s="7">
        <f t="shared" si="78"/>
        <v>4</v>
      </c>
      <c r="K91" s="7">
        <f t="shared" si="79"/>
        <v>2</v>
      </c>
      <c r="L91" s="5"/>
      <c r="M91" s="5"/>
      <c r="N91" s="5"/>
      <c r="O91" s="5"/>
    </row>
    <row r="92" spans="1:15" x14ac:dyDescent="0.45">
      <c r="A92" s="8">
        <v>91</v>
      </c>
      <c r="B92" s="7">
        <v>0.45681669851842288</v>
      </c>
      <c r="C92" s="7">
        <f t="shared" ref="C92" si="103">VLOOKUP(B92,$M$3:$N$10, 2)</f>
        <v>4</v>
      </c>
      <c r="D92" s="7">
        <f t="shared" si="73"/>
        <v>389</v>
      </c>
      <c r="E92" s="7">
        <f t="shared" si="74"/>
        <v>389</v>
      </c>
      <c r="F92" s="7">
        <f t="shared" si="75"/>
        <v>0</v>
      </c>
      <c r="G92" s="7">
        <v>0.45681669851842288</v>
      </c>
      <c r="H92" s="7">
        <f t="shared" si="76"/>
        <v>3</v>
      </c>
      <c r="I92" s="7">
        <f t="shared" si="77"/>
        <v>392</v>
      </c>
      <c r="J92" s="7">
        <f t="shared" si="78"/>
        <v>3</v>
      </c>
      <c r="K92" s="7">
        <f t="shared" si="79"/>
        <v>0</v>
      </c>
      <c r="L92" s="5"/>
      <c r="M92" s="5"/>
      <c r="N92" s="5"/>
      <c r="O92" s="5"/>
    </row>
    <row r="93" spans="1:15" x14ac:dyDescent="0.45">
      <c r="A93" s="7">
        <v>92</v>
      </c>
      <c r="B93" s="7">
        <v>0.65096046032116561</v>
      </c>
      <c r="C93" s="7">
        <f t="shared" ref="C93" si="104" xml:space="preserve"> VLOOKUP(B93,$M$3:$N$10, 2)</f>
        <v>6</v>
      </c>
      <c r="D93" s="7">
        <f t="shared" si="73"/>
        <v>395</v>
      </c>
      <c r="E93" s="7">
        <f t="shared" si="74"/>
        <v>395</v>
      </c>
      <c r="F93" s="7">
        <f t="shared" si="75"/>
        <v>0</v>
      </c>
      <c r="G93" s="7">
        <v>0.65096046032116561</v>
      </c>
      <c r="H93" s="7">
        <f t="shared" si="76"/>
        <v>4</v>
      </c>
      <c r="I93" s="13">
        <f t="shared" si="77"/>
        <v>399</v>
      </c>
      <c r="J93" s="7">
        <f t="shared" si="78"/>
        <v>4</v>
      </c>
      <c r="K93" s="7">
        <f t="shared" si="79"/>
        <v>3</v>
      </c>
      <c r="L93" s="5"/>
      <c r="M93" s="5"/>
      <c r="N93" s="5"/>
      <c r="O93" s="5"/>
    </row>
    <row r="94" spans="1:15" x14ac:dyDescent="0.45">
      <c r="A94" s="8">
        <v>93</v>
      </c>
      <c r="B94" s="7">
        <v>0.10539296880483018</v>
      </c>
      <c r="C94" s="7">
        <f t="shared" ref="C94" si="105">VLOOKUP(B94,$M$3:$N$10, 2)</f>
        <v>1</v>
      </c>
      <c r="D94" s="7">
        <f t="shared" si="73"/>
        <v>396</v>
      </c>
      <c r="E94" s="7">
        <f t="shared" si="74"/>
        <v>399</v>
      </c>
      <c r="F94" s="7">
        <f t="shared" si="75"/>
        <v>3</v>
      </c>
      <c r="G94" s="7">
        <v>0.10539296880483018</v>
      </c>
      <c r="H94" s="7">
        <f t="shared" si="76"/>
        <v>2</v>
      </c>
      <c r="I94" s="7">
        <f t="shared" si="77"/>
        <v>401</v>
      </c>
      <c r="J94" s="7">
        <f t="shared" si="78"/>
        <v>5</v>
      </c>
      <c r="K94" s="7">
        <f t="shared" si="79"/>
        <v>0</v>
      </c>
      <c r="L94" s="5"/>
      <c r="M94" s="5"/>
      <c r="N94" s="5"/>
      <c r="O94" s="5"/>
    </row>
    <row r="95" spans="1:15" x14ac:dyDescent="0.45">
      <c r="A95" s="7">
        <v>94</v>
      </c>
      <c r="B95" s="7">
        <v>0.62182931135128283</v>
      </c>
      <c r="C95" s="7">
        <f t="shared" ref="C95" si="106" xml:space="preserve"> VLOOKUP(B95,$M$3:$N$10, 2)</f>
        <v>5</v>
      </c>
      <c r="D95" s="7">
        <f t="shared" si="73"/>
        <v>401</v>
      </c>
      <c r="E95" s="7">
        <f t="shared" si="74"/>
        <v>401</v>
      </c>
      <c r="F95" s="7">
        <f t="shared" si="75"/>
        <v>0</v>
      </c>
      <c r="G95" s="7">
        <v>0.62182931135128283</v>
      </c>
      <c r="H95" s="7">
        <f t="shared" si="76"/>
        <v>4</v>
      </c>
      <c r="I95" s="13">
        <f t="shared" si="77"/>
        <v>405</v>
      </c>
      <c r="J95" s="7">
        <f t="shared" si="78"/>
        <v>4</v>
      </c>
      <c r="K95" s="7">
        <f t="shared" si="79"/>
        <v>0</v>
      </c>
      <c r="L95" s="5"/>
      <c r="M95" s="5"/>
      <c r="N95" s="5"/>
      <c r="O95" s="5"/>
    </row>
    <row r="96" spans="1:15" x14ac:dyDescent="0.45">
      <c r="A96" s="8">
        <v>95</v>
      </c>
      <c r="B96" s="7">
        <v>0.48981460124309373</v>
      </c>
      <c r="C96" s="7">
        <f t="shared" ref="C96" si="107">VLOOKUP(B96,$M$3:$N$10, 2)</f>
        <v>4</v>
      </c>
      <c r="D96" s="7">
        <f t="shared" si="73"/>
        <v>405</v>
      </c>
      <c r="E96" s="7">
        <f t="shared" si="74"/>
        <v>405</v>
      </c>
      <c r="F96" s="7">
        <f t="shared" si="75"/>
        <v>0</v>
      </c>
      <c r="G96" s="7">
        <v>0.48981460124309373</v>
      </c>
      <c r="H96" s="7">
        <f t="shared" si="76"/>
        <v>3</v>
      </c>
      <c r="I96" s="7">
        <f t="shared" si="77"/>
        <v>408</v>
      </c>
      <c r="J96" s="7">
        <f t="shared" si="78"/>
        <v>3</v>
      </c>
      <c r="K96" s="7">
        <f t="shared" si="79"/>
        <v>0</v>
      </c>
      <c r="L96" s="5"/>
      <c r="M96" s="5"/>
      <c r="N96" s="5"/>
      <c r="O96" s="5"/>
    </row>
    <row r="97" spans="1:15" x14ac:dyDescent="0.45">
      <c r="A97" s="7">
        <v>96</v>
      </c>
      <c r="B97" s="7">
        <v>0.85677858983007826</v>
      </c>
      <c r="C97" s="7">
        <f t="shared" ref="C97" si="108" xml:space="preserve"> VLOOKUP(B97,$M$3:$N$10, 2)</f>
        <v>7</v>
      </c>
      <c r="D97" s="7">
        <f t="shared" si="73"/>
        <v>412</v>
      </c>
      <c r="E97" s="7">
        <f t="shared" si="74"/>
        <v>412</v>
      </c>
      <c r="F97" s="7">
        <f t="shared" si="75"/>
        <v>0</v>
      </c>
      <c r="G97" s="7">
        <v>0.85677858983007826</v>
      </c>
      <c r="H97" s="7">
        <f t="shared" si="76"/>
        <v>5</v>
      </c>
      <c r="I97" s="13">
        <f t="shared" si="77"/>
        <v>417</v>
      </c>
      <c r="J97" s="7">
        <f t="shared" si="78"/>
        <v>5</v>
      </c>
      <c r="K97" s="7">
        <f t="shared" si="79"/>
        <v>4</v>
      </c>
      <c r="L97" s="5"/>
      <c r="M97" s="5"/>
      <c r="N97" s="5"/>
      <c r="O97" s="5"/>
    </row>
    <row r="98" spans="1:15" x14ac:dyDescent="0.45">
      <c r="A98" s="8">
        <v>97</v>
      </c>
      <c r="B98" s="7">
        <v>0.43640387812070724</v>
      </c>
      <c r="C98" s="7">
        <f t="shared" ref="C98" si="109">VLOOKUP(B98,$M$3:$N$10, 2)</f>
        <v>4</v>
      </c>
      <c r="D98" s="7">
        <f t="shared" si="73"/>
        <v>416</v>
      </c>
      <c r="E98" s="7">
        <f t="shared" si="74"/>
        <v>417</v>
      </c>
      <c r="F98" s="7">
        <f t="shared" si="75"/>
        <v>1</v>
      </c>
      <c r="G98" s="7">
        <v>0.43640387812070724</v>
      </c>
      <c r="H98" s="7">
        <f t="shared" si="76"/>
        <v>3</v>
      </c>
      <c r="I98" s="7">
        <f t="shared" si="77"/>
        <v>420</v>
      </c>
      <c r="J98" s="7">
        <f t="shared" si="78"/>
        <v>4</v>
      </c>
      <c r="K98" s="7">
        <f t="shared" si="79"/>
        <v>0</v>
      </c>
      <c r="L98" s="5"/>
      <c r="M98" s="5"/>
      <c r="N98" s="5"/>
      <c r="O98" s="5"/>
    </row>
    <row r="99" spans="1:15" x14ac:dyDescent="0.45">
      <c r="A99" s="7">
        <v>98</v>
      </c>
      <c r="B99" s="7">
        <v>0.49247963104276682</v>
      </c>
      <c r="C99" s="7">
        <f t="shared" ref="C99" si="110" xml:space="preserve"> VLOOKUP(B99,$M$3:$N$10, 2)</f>
        <v>4</v>
      </c>
      <c r="D99" s="7">
        <f t="shared" si="73"/>
        <v>420</v>
      </c>
      <c r="E99" s="7">
        <f t="shared" si="74"/>
        <v>420</v>
      </c>
      <c r="F99" s="7">
        <f t="shared" si="75"/>
        <v>0</v>
      </c>
      <c r="G99" s="7">
        <v>0.49247963104276682</v>
      </c>
      <c r="H99" s="7">
        <f t="shared" si="76"/>
        <v>3</v>
      </c>
      <c r="I99" s="13">
        <f t="shared" si="77"/>
        <v>423</v>
      </c>
      <c r="J99" s="7">
        <f t="shared" si="78"/>
        <v>3</v>
      </c>
      <c r="K99" s="7">
        <f t="shared" si="79"/>
        <v>0</v>
      </c>
      <c r="L99" s="5"/>
      <c r="M99" s="5"/>
      <c r="N99" s="5"/>
      <c r="O99" s="5"/>
    </row>
    <row r="100" spans="1:15" x14ac:dyDescent="0.45">
      <c r="A100" s="8">
        <v>99</v>
      </c>
      <c r="B100" s="7">
        <v>0.21532923544414206</v>
      </c>
      <c r="C100" s="7">
        <f t="shared" ref="C100" si="111">VLOOKUP(B100,$M$3:$N$10, 2)</f>
        <v>2</v>
      </c>
      <c r="D100" s="7">
        <f t="shared" si="73"/>
        <v>422</v>
      </c>
      <c r="E100" s="7">
        <f t="shared" si="74"/>
        <v>423</v>
      </c>
      <c r="F100" s="7">
        <f t="shared" si="75"/>
        <v>1</v>
      </c>
      <c r="G100" s="7">
        <v>0.21532923544414206</v>
      </c>
      <c r="H100" s="7">
        <f t="shared" si="76"/>
        <v>2</v>
      </c>
      <c r="I100" s="7">
        <f t="shared" si="77"/>
        <v>425</v>
      </c>
      <c r="J100" s="7">
        <f t="shared" si="78"/>
        <v>3</v>
      </c>
      <c r="K100" s="7">
        <f t="shared" si="79"/>
        <v>0</v>
      </c>
      <c r="L100" s="5"/>
      <c r="M100" s="5"/>
      <c r="N100" s="5"/>
      <c r="O100" s="5"/>
    </row>
    <row r="101" spans="1:15" x14ac:dyDescent="0.45">
      <c r="A101" s="7">
        <v>100</v>
      </c>
      <c r="B101" s="7">
        <v>0.56609138149039884</v>
      </c>
      <c r="C101" s="7">
        <f t="shared" ref="C101" si="112" xml:space="preserve"> VLOOKUP(B101,$M$3:$N$10, 2)</f>
        <v>5</v>
      </c>
      <c r="D101" s="7">
        <f t="shared" si="73"/>
        <v>427</v>
      </c>
      <c r="E101" s="7">
        <f t="shared" si="74"/>
        <v>427</v>
      </c>
      <c r="F101" s="7">
        <f t="shared" si="75"/>
        <v>0</v>
      </c>
      <c r="G101" s="7">
        <v>0.56609138149039884</v>
      </c>
      <c r="H101" s="7">
        <f t="shared" si="76"/>
        <v>3</v>
      </c>
      <c r="I101" s="13">
        <f t="shared" si="77"/>
        <v>430</v>
      </c>
      <c r="J101" s="7">
        <f t="shared" si="78"/>
        <v>3</v>
      </c>
      <c r="K101" s="7">
        <f t="shared" si="79"/>
        <v>2</v>
      </c>
      <c r="L101" s="5"/>
      <c r="M101" s="5"/>
      <c r="N101" s="5"/>
      <c r="O101" s="5"/>
    </row>
    <row r="102" spans="1:15" x14ac:dyDescent="0.4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22">
        <f>SUM(K2:K101)/I101</f>
        <v>0.27674418604651163</v>
      </c>
      <c r="L102" s="5"/>
      <c r="M102" s="5"/>
      <c r="N102" s="5"/>
      <c r="O102" s="5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4FAD-B9B2-4382-9AB8-6A5FC9F74A8C}">
  <dimension ref="A1:S107"/>
  <sheetViews>
    <sheetView zoomScale="70" zoomScaleNormal="70" workbookViewId="0">
      <selection activeCell="G8" sqref="G8"/>
    </sheetView>
  </sheetViews>
  <sheetFormatPr defaultRowHeight="17" x14ac:dyDescent="0.45"/>
  <cols>
    <col min="5" max="5" width="10.25" bestFit="1" customWidth="1"/>
    <col min="6" max="6" width="10.08203125" bestFit="1" customWidth="1"/>
    <col min="8" max="8" width="12.75" bestFit="1" customWidth="1"/>
    <col min="9" max="10" width="11" bestFit="1" customWidth="1"/>
    <col min="11" max="11" width="15.08203125" bestFit="1" customWidth="1"/>
    <col min="13" max="13" width="11.58203125" bestFit="1" customWidth="1"/>
    <col min="17" max="17" width="73.5" customWidth="1"/>
    <col min="18" max="18" width="13.08203125" customWidth="1"/>
  </cols>
  <sheetData>
    <row r="1" spans="1:19" x14ac:dyDescent="0.45">
      <c r="A1" s="11">
        <v>1</v>
      </c>
      <c r="B1" s="11">
        <v>0.25</v>
      </c>
      <c r="C1" s="11">
        <v>0</v>
      </c>
      <c r="D1" s="11"/>
      <c r="E1" s="11">
        <v>2</v>
      </c>
      <c r="F1" s="11">
        <v>0.3</v>
      </c>
      <c r="G1" s="11">
        <v>0</v>
      </c>
      <c r="H1" s="11"/>
      <c r="I1" s="11">
        <v>3</v>
      </c>
      <c r="J1" s="11">
        <v>0.35</v>
      </c>
      <c r="K1" s="11">
        <v>0</v>
      </c>
      <c r="L1" s="11"/>
      <c r="M1" s="11"/>
    </row>
    <row r="2" spans="1:19" x14ac:dyDescent="0.45">
      <c r="A2" s="11">
        <v>2</v>
      </c>
      <c r="B2" s="11">
        <v>0.4</v>
      </c>
      <c r="C2" s="11">
        <v>0.25</v>
      </c>
      <c r="D2" s="11"/>
      <c r="E2" s="11">
        <v>3</v>
      </c>
      <c r="F2" s="11">
        <v>0.28000000000000003</v>
      </c>
      <c r="G2" s="11">
        <v>0.3</v>
      </c>
      <c r="H2" s="11"/>
      <c r="I2" s="11">
        <v>4</v>
      </c>
      <c r="J2" s="11">
        <v>0.25</v>
      </c>
      <c r="K2" s="11">
        <v>0.35</v>
      </c>
      <c r="L2" s="11"/>
      <c r="M2" s="11"/>
    </row>
    <row r="3" spans="1:19" x14ac:dyDescent="0.45">
      <c r="A3" s="11">
        <v>3</v>
      </c>
      <c r="B3" s="11">
        <v>0.2</v>
      </c>
      <c r="C3" s="11">
        <v>0.65</v>
      </c>
      <c r="D3" s="11"/>
      <c r="E3" s="11">
        <v>4</v>
      </c>
      <c r="F3" s="11">
        <v>0.25</v>
      </c>
      <c r="G3" s="11">
        <v>0.57999999999999996</v>
      </c>
      <c r="H3" s="11"/>
      <c r="I3" s="11">
        <v>5</v>
      </c>
      <c r="J3" s="11">
        <v>0.2</v>
      </c>
      <c r="K3" s="11">
        <v>0.6</v>
      </c>
      <c r="L3" s="11"/>
      <c r="M3" s="11"/>
    </row>
    <row r="4" spans="1:19" x14ac:dyDescent="0.45">
      <c r="A4" s="11">
        <v>4</v>
      </c>
      <c r="B4" s="11">
        <v>0.15</v>
      </c>
      <c r="C4" s="11">
        <v>0.85</v>
      </c>
      <c r="D4" s="11"/>
      <c r="E4" s="11">
        <v>5</v>
      </c>
      <c r="F4" s="11">
        <v>0.17</v>
      </c>
      <c r="G4" s="11">
        <v>0.83</v>
      </c>
      <c r="H4" s="11"/>
      <c r="I4" s="11">
        <v>6</v>
      </c>
      <c r="J4" s="11">
        <v>0.2</v>
      </c>
      <c r="K4" s="11">
        <v>0.8</v>
      </c>
      <c r="L4" s="11"/>
      <c r="M4" s="11"/>
    </row>
    <row r="5" spans="1:1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9" x14ac:dyDescent="0.45">
      <c r="A6" s="19" t="s">
        <v>40</v>
      </c>
      <c r="B6" s="19" t="s">
        <v>41</v>
      </c>
      <c r="C6" s="19" t="s">
        <v>42</v>
      </c>
      <c r="D6" s="19" t="s">
        <v>43</v>
      </c>
      <c r="E6" s="19" t="s">
        <v>44</v>
      </c>
      <c r="F6" s="19" t="s">
        <v>45</v>
      </c>
      <c r="G6" s="19" t="s">
        <v>46</v>
      </c>
      <c r="H6" s="19" t="s">
        <v>47</v>
      </c>
      <c r="I6" s="19" t="s">
        <v>52</v>
      </c>
      <c r="J6" s="19" t="s">
        <v>48</v>
      </c>
      <c r="K6" s="19" t="s">
        <v>49</v>
      </c>
      <c r="L6" s="19" t="s">
        <v>50</v>
      </c>
      <c r="M6" s="19" t="s">
        <v>51</v>
      </c>
      <c r="P6" s="11"/>
      <c r="Q6" s="16" t="s">
        <v>53</v>
      </c>
      <c r="R6" s="2">
        <f ca="1">AVERAGE(L7:L106)</f>
        <v>1.99</v>
      </c>
      <c r="S6" s="2"/>
    </row>
    <row r="7" spans="1:19" x14ac:dyDescent="0.45">
      <c r="A7" s="11">
        <v>1</v>
      </c>
      <c r="B7" s="11"/>
      <c r="C7" s="11"/>
      <c r="D7" s="11">
        <v>0</v>
      </c>
      <c r="E7" s="11">
        <v>0</v>
      </c>
      <c r="F7" s="11">
        <v>0</v>
      </c>
      <c r="G7" s="11">
        <v>1</v>
      </c>
      <c r="H7" s="11"/>
      <c r="I7" s="11">
        <v>2</v>
      </c>
      <c r="J7" s="11">
        <v>0</v>
      </c>
      <c r="K7" s="11">
        <v>2</v>
      </c>
      <c r="L7" s="11">
        <v>0</v>
      </c>
      <c r="M7" s="11">
        <v>2</v>
      </c>
      <c r="Q7" s="16" t="s">
        <v>54</v>
      </c>
      <c r="R7" s="2">
        <f ca="1">AVERAGE(M7:M106)</f>
        <v>5.65</v>
      </c>
      <c r="S7" s="2"/>
    </row>
    <row r="8" spans="1:19" x14ac:dyDescent="0.45">
      <c r="A8" s="11">
        <v>2</v>
      </c>
      <c r="B8" s="11">
        <f ca="1">RAND()</f>
        <v>0.54953557577183509</v>
      </c>
      <c r="C8" s="11">
        <f ca="1">LOOKUP(B8,$C$1:$C$4,$A$1:$A$4)</f>
        <v>2</v>
      </c>
      <c r="D8" s="11">
        <f ca="1">D7+C8</f>
        <v>2</v>
      </c>
      <c r="E8" s="11">
        <f>IF(G7=1, K7, E7)</f>
        <v>2</v>
      </c>
      <c r="F8" s="11">
        <f>IF(G7=2, K7, F7)</f>
        <v>0</v>
      </c>
      <c r="G8" s="11">
        <f>IF(E8&lt;=F8, 1, 2)</f>
        <v>2</v>
      </c>
      <c r="H8" s="11">
        <f ca="1">RAND()</f>
        <v>0.80632480472095103</v>
      </c>
      <c r="I8" s="11">
        <f ca="1">IF(G8=1, LOOKUP(H8,$G$1:$G$4,$E$1:$E$4), LOOKUP(H8, $K$1:$K$4,$I$1:$I$4))</f>
        <v>6</v>
      </c>
      <c r="J8" s="11">
        <f ca="1">MAX(D8, MIN(E8,F8))</f>
        <v>2</v>
      </c>
      <c r="K8" s="11">
        <f ca="1">J8+I8</f>
        <v>8</v>
      </c>
      <c r="L8" s="11">
        <f ca="1">J8-D8</f>
        <v>0</v>
      </c>
      <c r="M8" s="11">
        <f ca="1">K8-D8</f>
        <v>6</v>
      </c>
      <c r="Q8" s="16" t="s">
        <v>55</v>
      </c>
      <c r="R8" s="2">
        <f ca="1">COUNTIF(L7:L106, 0) / 100</f>
        <v>0.56999999999999995</v>
      </c>
      <c r="S8" s="2"/>
    </row>
    <row r="9" spans="1:19" x14ac:dyDescent="0.45">
      <c r="A9" s="11">
        <v>3</v>
      </c>
      <c r="B9" s="11">
        <f t="shared" ref="B9:B72" ca="1" si="0">RAND()</f>
        <v>0.53732084328383367</v>
      </c>
      <c r="C9" s="11">
        <f t="shared" ref="C9:C72" ca="1" si="1">LOOKUP(B9,$C$1:$C$4,$A$1:$A$4)</f>
        <v>2</v>
      </c>
      <c r="D9" s="11">
        <f t="shared" ref="D9:D72" ca="1" si="2">D8+C9</f>
        <v>4</v>
      </c>
      <c r="E9" s="11">
        <f t="shared" ref="E9:E72" si="3">IF(G8=1, K8, E8)</f>
        <v>2</v>
      </c>
      <c r="F9" s="11">
        <f t="shared" ref="F9:F72" ca="1" si="4">IF(G8=2, K8, F8)</f>
        <v>8</v>
      </c>
      <c r="G9" s="11">
        <f t="shared" ref="G9:G72" ca="1" si="5">IF(E9&lt;=F9, 1, 2)</f>
        <v>1</v>
      </c>
      <c r="H9" s="11">
        <f t="shared" ref="H9:H72" ca="1" si="6">RAND()</f>
        <v>0.74001410382642119</v>
      </c>
      <c r="I9" s="11">
        <f t="shared" ref="I9:I72" ca="1" si="7">IF(G9=1, LOOKUP(H9,$G$1:$G$4,$E$1:$E$4), LOOKUP(H9, $K$1:$K$4,$I$1:$I$4))</f>
        <v>4</v>
      </c>
      <c r="J9" s="11">
        <f t="shared" ref="J9:J72" ca="1" si="8">MAX(D9, MIN(E9,F9))</f>
        <v>4</v>
      </c>
      <c r="K9" s="11">
        <f t="shared" ref="K9:K72" ca="1" si="9">J9+I9</f>
        <v>8</v>
      </c>
      <c r="L9" s="11">
        <f t="shared" ref="L9:L72" ca="1" si="10">J9-D9</f>
        <v>0</v>
      </c>
      <c r="M9" s="11">
        <f t="shared" ref="M9:M72" ca="1" si="11">K9-D9</f>
        <v>4</v>
      </c>
      <c r="Q9" s="16" t="s">
        <v>57</v>
      </c>
      <c r="R9" s="2">
        <f ca="1">COUNTIF(G7:G106, 1)</f>
        <v>58</v>
      </c>
      <c r="S9" s="2">
        <f ca="1">R9/100</f>
        <v>0.57999999999999996</v>
      </c>
    </row>
    <row r="10" spans="1:19" x14ac:dyDescent="0.45">
      <c r="A10" s="11">
        <v>4</v>
      </c>
      <c r="B10" s="11">
        <f t="shared" ca="1" si="0"/>
        <v>0.39322875425808679</v>
      </c>
      <c r="C10" s="11">
        <f t="shared" ca="1" si="1"/>
        <v>2</v>
      </c>
      <c r="D10" s="11">
        <f t="shared" ca="1" si="2"/>
        <v>6</v>
      </c>
      <c r="E10" s="11">
        <f t="shared" ca="1" si="3"/>
        <v>8</v>
      </c>
      <c r="F10" s="11">
        <f t="shared" ca="1" si="4"/>
        <v>8</v>
      </c>
      <c r="G10" s="11">
        <f t="shared" ca="1" si="5"/>
        <v>1</v>
      </c>
      <c r="H10" s="11">
        <f t="shared" ca="1" si="6"/>
        <v>0.95626294788602129</v>
      </c>
      <c r="I10" s="11">
        <f t="shared" ca="1" si="7"/>
        <v>5</v>
      </c>
      <c r="J10" s="11">
        <f t="shared" ca="1" si="8"/>
        <v>8</v>
      </c>
      <c r="K10" s="11">
        <f t="shared" ca="1" si="9"/>
        <v>13</v>
      </c>
      <c r="L10" s="11">
        <f t="shared" ca="1" si="10"/>
        <v>2</v>
      </c>
      <c r="M10" s="11">
        <f t="shared" ca="1" si="11"/>
        <v>7</v>
      </c>
      <c r="Q10" s="17" t="s">
        <v>58</v>
      </c>
      <c r="R10" s="2">
        <f ca="1">COUNTIF(G7:G106, 2)</f>
        <v>42</v>
      </c>
      <c r="S10" s="2">
        <f ca="1">R10/100</f>
        <v>0.42</v>
      </c>
    </row>
    <row r="11" spans="1:19" x14ac:dyDescent="0.45">
      <c r="A11" s="11">
        <v>5</v>
      </c>
      <c r="B11" s="11">
        <f t="shared" ca="1" si="0"/>
        <v>0.4983831611665015</v>
      </c>
      <c r="C11" s="11">
        <f t="shared" ca="1" si="1"/>
        <v>2</v>
      </c>
      <c r="D11" s="11">
        <f ca="1">D10+C11</f>
        <v>8</v>
      </c>
      <c r="E11" s="11">
        <f ca="1">IF(G10=1, K10, E10)</f>
        <v>13</v>
      </c>
      <c r="F11" s="11">
        <f t="shared" ca="1" si="4"/>
        <v>8</v>
      </c>
      <c r="G11" s="11">
        <f t="shared" ca="1" si="5"/>
        <v>2</v>
      </c>
      <c r="H11" s="11">
        <f t="shared" ca="1" si="6"/>
        <v>0.11670580453981372</v>
      </c>
      <c r="I11" s="11">
        <f t="shared" ca="1" si="7"/>
        <v>3</v>
      </c>
      <c r="J11" s="11">
        <f t="shared" ca="1" si="8"/>
        <v>8</v>
      </c>
      <c r="K11" s="11">
        <f t="shared" ca="1" si="9"/>
        <v>11</v>
      </c>
      <c r="L11" s="11">
        <f t="shared" ca="1" si="10"/>
        <v>0</v>
      </c>
      <c r="M11" s="11">
        <f t="shared" ca="1" si="11"/>
        <v>3</v>
      </c>
      <c r="Q11" s="16" t="s">
        <v>59</v>
      </c>
      <c r="R11" s="2">
        <f ca="1">(K106 - SUMIFS(I7:I106, G7:G106, 1)) / K106</f>
        <v>0.2183406113537118</v>
      </c>
      <c r="S11" s="2"/>
    </row>
    <row r="12" spans="1:19" x14ac:dyDescent="0.45">
      <c r="A12" s="11">
        <v>6</v>
      </c>
      <c r="B12" s="11">
        <f t="shared" ca="1" si="0"/>
        <v>0.64200031518527956</v>
      </c>
      <c r="C12" s="11">
        <f t="shared" ca="1" si="1"/>
        <v>2</v>
      </c>
      <c r="D12" s="11">
        <f t="shared" ca="1" si="2"/>
        <v>10</v>
      </c>
      <c r="E12" s="11">
        <f t="shared" ca="1" si="3"/>
        <v>13</v>
      </c>
      <c r="F12" s="11">
        <f t="shared" ca="1" si="4"/>
        <v>11</v>
      </c>
      <c r="G12" s="11">
        <f t="shared" ca="1" si="5"/>
        <v>2</v>
      </c>
      <c r="H12" s="11">
        <f t="shared" ca="1" si="6"/>
        <v>0.42760168004240839</v>
      </c>
      <c r="I12" s="11">
        <f t="shared" ca="1" si="7"/>
        <v>4</v>
      </c>
      <c r="J12" s="11">
        <f t="shared" ca="1" si="8"/>
        <v>11</v>
      </c>
      <c r="K12" s="11">
        <f t="shared" ca="1" si="9"/>
        <v>15</v>
      </c>
      <c r="L12" s="11">
        <f t="shared" ca="1" si="10"/>
        <v>1</v>
      </c>
      <c r="M12" s="11">
        <f t="shared" ca="1" si="11"/>
        <v>5</v>
      </c>
      <c r="Q12" s="16" t="s">
        <v>60</v>
      </c>
      <c r="R12" s="2">
        <f ca="1">(K106 - SUMIFS(I7:I106, G7:G106, 2)) / K106</f>
        <v>0.18340611353711792</v>
      </c>
      <c r="S12" s="2"/>
    </row>
    <row r="13" spans="1:19" x14ac:dyDescent="0.45">
      <c r="A13" s="11">
        <v>7</v>
      </c>
      <c r="B13" s="11">
        <f t="shared" ca="1" si="0"/>
        <v>0.16299503631068657</v>
      </c>
      <c r="C13" s="11">
        <f t="shared" ca="1" si="1"/>
        <v>1</v>
      </c>
      <c r="D13" s="11">
        <f t="shared" ca="1" si="2"/>
        <v>11</v>
      </c>
      <c r="E13" s="11">
        <f t="shared" ca="1" si="3"/>
        <v>13</v>
      </c>
      <c r="F13" s="11">
        <f t="shared" ca="1" si="4"/>
        <v>15</v>
      </c>
      <c r="G13" s="11">
        <f t="shared" ca="1" si="5"/>
        <v>1</v>
      </c>
      <c r="H13" s="11">
        <f t="shared" ca="1" si="6"/>
        <v>0.3004863628976876</v>
      </c>
      <c r="I13" s="11">
        <f t="shared" ca="1" si="7"/>
        <v>3</v>
      </c>
      <c r="J13" s="11">
        <f t="shared" ca="1" si="8"/>
        <v>13</v>
      </c>
      <c r="K13" s="11">
        <f t="shared" ca="1" si="9"/>
        <v>16</v>
      </c>
      <c r="L13" s="11">
        <f t="shared" ca="1" si="10"/>
        <v>2</v>
      </c>
      <c r="M13" s="11">
        <f t="shared" ca="1" si="11"/>
        <v>5</v>
      </c>
      <c r="Q13" s="16" t="s">
        <v>61</v>
      </c>
      <c r="R13" s="2">
        <f ca="1">COUNTIF(L7:L106, "&gt;=3") / 100</f>
        <v>0.26</v>
      </c>
      <c r="S13" s="2"/>
    </row>
    <row r="14" spans="1:19" x14ac:dyDescent="0.45">
      <c r="A14" s="11">
        <v>8</v>
      </c>
      <c r="B14" s="11">
        <f t="shared" ca="1" si="0"/>
        <v>0.96381674478183199</v>
      </c>
      <c r="C14" s="11">
        <f t="shared" ca="1" si="1"/>
        <v>4</v>
      </c>
      <c r="D14" s="11">
        <f t="shared" ca="1" si="2"/>
        <v>15</v>
      </c>
      <c r="E14" s="11">
        <f t="shared" ca="1" si="3"/>
        <v>16</v>
      </c>
      <c r="F14" s="11">
        <f t="shared" ca="1" si="4"/>
        <v>15</v>
      </c>
      <c r="G14" s="11">
        <f t="shared" ca="1" si="5"/>
        <v>2</v>
      </c>
      <c r="H14" s="11">
        <f t="shared" ca="1" si="6"/>
        <v>0.71630016024294074</v>
      </c>
      <c r="I14" s="11">
        <f t="shared" ca="1" si="7"/>
        <v>5</v>
      </c>
      <c r="J14" s="11">
        <f t="shared" ca="1" si="8"/>
        <v>15</v>
      </c>
      <c r="K14" s="11">
        <f t="shared" ca="1" si="9"/>
        <v>20</v>
      </c>
      <c r="L14" s="11">
        <f t="shared" ca="1" si="10"/>
        <v>0</v>
      </c>
      <c r="M14" s="11">
        <f t="shared" ca="1" si="11"/>
        <v>5</v>
      </c>
      <c r="Q14" s="16" t="s">
        <v>56</v>
      </c>
      <c r="R14" s="2">
        <f ca="1">_xlfn.STDEV.S(L7:L106)</f>
        <v>3.201940699392205</v>
      </c>
      <c r="S14" s="2">
        <f ca="1">MAX(L7:L106)</f>
        <v>12</v>
      </c>
    </row>
    <row r="15" spans="1:19" x14ac:dyDescent="0.45">
      <c r="A15" s="11">
        <v>9</v>
      </c>
      <c r="B15" s="11">
        <f t="shared" ca="1" si="0"/>
        <v>0.66600023464322333</v>
      </c>
      <c r="C15" s="11">
        <f t="shared" ca="1" si="1"/>
        <v>3</v>
      </c>
      <c r="D15" s="11">
        <f t="shared" ca="1" si="2"/>
        <v>18</v>
      </c>
      <c r="E15" s="11">
        <f t="shared" ca="1" si="3"/>
        <v>16</v>
      </c>
      <c r="F15" s="11">
        <f t="shared" ca="1" si="4"/>
        <v>20</v>
      </c>
      <c r="G15" s="11">
        <f t="shared" ca="1" si="5"/>
        <v>1</v>
      </c>
      <c r="H15" s="11">
        <f t="shared" ca="1" si="6"/>
        <v>0.77852455623081651</v>
      </c>
      <c r="I15" s="11">
        <f t="shared" ca="1" si="7"/>
        <v>4</v>
      </c>
      <c r="J15" s="11">
        <f t="shared" ca="1" si="8"/>
        <v>18</v>
      </c>
      <c r="K15" s="11">
        <f t="shared" ca="1" si="9"/>
        <v>22</v>
      </c>
      <c r="L15" s="11">
        <f t="shared" ca="1" si="10"/>
        <v>0</v>
      </c>
      <c r="M15" s="11">
        <f t="shared" ca="1" si="11"/>
        <v>4</v>
      </c>
    </row>
    <row r="16" spans="1:19" x14ac:dyDescent="0.45">
      <c r="A16" s="11">
        <v>10</v>
      </c>
      <c r="B16" s="11">
        <f t="shared" ca="1" si="0"/>
        <v>0.17815969933419129</v>
      </c>
      <c r="C16" s="11">
        <f t="shared" ca="1" si="1"/>
        <v>1</v>
      </c>
      <c r="D16" s="11">
        <f t="shared" ca="1" si="2"/>
        <v>19</v>
      </c>
      <c r="E16" s="11">
        <f t="shared" ca="1" si="3"/>
        <v>22</v>
      </c>
      <c r="F16" s="11">
        <f t="shared" ca="1" si="4"/>
        <v>20</v>
      </c>
      <c r="G16" s="11">
        <f t="shared" ca="1" si="5"/>
        <v>2</v>
      </c>
      <c r="H16" s="11">
        <f t="shared" ca="1" si="6"/>
        <v>0.29929612750381329</v>
      </c>
      <c r="I16" s="11">
        <f t="shared" ca="1" si="7"/>
        <v>3</v>
      </c>
      <c r="J16" s="11">
        <f t="shared" ca="1" si="8"/>
        <v>20</v>
      </c>
      <c r="K16" s="11">
        <f t="shared" ca="1" si="9"/>
        <v>23</v>
      </c>
      <c r="L16" s="11">
        <f t="shared" ca="1" si="10"/>
        <v>1</v>
      </c>
      <c r="M16" s="11">
        <f t="shared" ca="1" si="11"/>
        <v>4</v>
      </c>
    </row>
    <row r="17" spans="1:13" x14ac:dyDescent="0.45">
      <c r="A17" s="11">
        <v>11</v>
      </c>
      <c r="B17" s="11">
        <f t="shared" ca="1" si="0"/>
        <v>0.60950629013291013</v>
      </c>
      <c r="C17" s="11">
        <f t="shared" ca="1" si="1"/>
        <v>2</v>
      </c>
      <c r="D17" s="11">
        <f t="shared" ca="1" si="2"/>
        <v>21</v>
      </c>
      <c r="E17" s="11">
        <f t="shared" ca="1" si="3"/>
        <v>22</v>
      </c>
      <c r="F17" s="11">
        <f t="shared" ca="1" si="4"/>
        <v>23</v>
      </c>
      <c r="G17" s="11">
        <f t="shared" ca="1" si="5"/>
        <v>1</v>
      </c>
      <c r="H17" s="11">
        <f t="shared" ca="1" si="6"/>
        <v>0.78407634859403585</v>
      </c>
      <c r="I17" s="11">
        <f t="shared" ca="1" si="7"/>
        <v>4</v>
      </c>
      <c r="J17" s="11">
        <f t="shared" ca="1" si="8"/>
        <v>22</v>
      </c>
      <c r="K17" s="11">
        <f t="shared" ca="1" si="9"/>
        <v>26</v>
      </c>
      <c r="L17" s="11">
        <f t="shared" ca="1" si="10"/>
        <v>1</v>
      </c>
      <c r="M17" s="11">
        <f t="shared" ca="1" si="11"/>
        <v>5</v>
      </c>
    </row>
    <row r="18" spans="1:13" x14ac:dyDescent="0.45">
      <c r="A18" s="11">
        <v>12</v>
      </c>
      <c r="B18" s="11">
        <f t="shared" ca="1" si="0"/>
        <v>0.73898548127635766</v>
      </c>
      <c r="C18" s="11">
        <f t="shared" ca="1" si="1"/>
        <v>3</v>
      </c>
      <c r="D18" s="11">
        <f t="shared" ca="1" si="2"/>
        <v>24</v>
      </c>
      <c r="E18" s="11">
        <f t="shared" ca="1" si="3"/>
        <v>26</v>
      </c>
      <c r="F18" s="11">
        <f t="shared" ca="1" si="4"/>
        <v>23</v>
      </c>
      <c r="G18" s="11">
        <f t="shared" ca="1" si="5"/>
        <v>2</v>
      </c>
      <c r="H18" s="11">
        <f t="shared" ca="1" si="6"/>
        <v>0.5481754624446078</v>
      </c>
      <c r="I18" s="11">
        <f t="shared" ca="1" si="7"/>
        <v>4</v>
      </c>
      <c r="J18" s="11">
        <f t="shared" ca="1" si="8"/>
        <v>24</v>
      </c>
      <c r="K18" s="11">
        <f t="shared" ca="1" si="9"/>
        <v>28</v>
      </c>
      <c r="L18" s="11">
        <f t="shared" ca="1" si="10"/>
        <v>0</v>
      </c>
      <c r="M18" s="11">
        <f t="shared" ca="1" si="11"/>
        <v>4</v>
      </c>
    </row>
    <row r="19" spans="1:13" x14ac:dyDescent="0.45">
      <c r="A19" s="11">
        <v>13</v>
      </c>
      <c r="B19" s="11">
        <f t="shared" ca="1" si="0"/>
        <v>0.91818983655789588</v>
      </c>
      <c r="C19" s="11">
        <f t="shared" ca="1" si="1"/>
        <v>4</v>
      </c>
      <c r="D19" s="11">
        <f t="shared" ca="1" si="2"/>
        <v>28</v>
      </c>
      <c r="E19" s="11">
        <f t="shared" ca="1" si="3"/>
        <v>26</v>
      </c>
      <c r="F19" s="11">
        <f t="shared" ca="1" si="4"/>
        <v>28</v>
      </c>
      <c r="G19" s="11">
        <f t="shared" ca="1" si="5"/>
        <v>1</v>
      </c>
      <c r="H19" s="11">
        <f t="shared" ca="1" si="6"/>
        <v>0.17618978893639969</v>
      </c>
      <c r="I19" s="11">
        <f t="shared" ca="1" si="7"/>
        <v>2</v>
      </c>
      <c r="J19" s="11">
        <f t="shared" ca="1" si="8"/>
        <v>28</v>
      </c>
      <c r="K19" s="11">
        <f t="shared" ca="1" si="9"/>
        <v>30</v>
      </c>
      <c r="L19" s="11">
        <f ca="1">J19-D19</f>
        <v>0</v>
      </c>
      <c r="M19" s="11">
        <f t="shared" ca="1" si="11"/>
        <v>2</v>
      </c>
    </row>
    <row r="20" spans="1:13" x14ac:dyDescent="0.45">
      <c r="A20" s="11">
        <v>14</v>
      </c>
      <c r="B20" s="11">
        <f t="shared" ca="1" si="0"/>
        <v>0.94133214291084988</v>
      </c>
      <c r="C20" s="11">
        <f t="shared" ca="1" si="1"/>
        <v>4</v>
      </c>
      <c r="D20" s="11">
        <f t="shared" ca="1" si="2"/>
        <v>32</v>
      </c>
      <c r="E20" s="11">
        <f t="shared" ca="1" si="3"/>
        <v>30</v>
      </c>
      <c r="F20" s="11">
        <f t="shared" ca="1" si="4"/>
        <v>28</v>
      </c>
      <c r="G20" s="11">
        <f t="shared" ca="1" si="5"/>
        <v>2</v>
      </c>
      <c r="H20" s="11">
        <f t="shared" ca="1" si="6"/>
        <v>0.59978050710728026</v>
      </c>
      <c r="I20" s="11">
        <f t="shared" ca="1" si="7"/>
        <v>4</v>
      </c>
      <c r="J20" s="11">
        <f t="shared" ca="1" si="8"/>
        <v>32</v>
      </c>
      <c r="K20" s="11">
        <f t="shared" ca="1" si="9"/>
        <v>36</v>
      </c>
      <c r="L20" s="11">
        <f t="shared" ca="1" si="10"/>
        <v>0</v>
      </c>
      <c r="M20" s="11">
        <f t="shared" ca="1" si="11"/>
        <v>4</v>
      </c>
    </row>
    <row r="21" spans="1:13" x14ac:dyDescent="0.45">
      <c r="A21" s="11">
        <v>15</v>
      </c>
      <c r="B21" s="11">
        <f t="shared" ca="1" si="0"/>
        <v>0.38913358532099096</v>
      </c>
      <c r="C21" s="11">
        <f t="shared" ca="1" si="1"/>
        <v>2</v>
      </c>
      <c r="D21" s="11">
        <f t="shared" ca="1" si="2"/>
        <v>34</v>
      </c>
      <c r="E21" s="11">
        <f t="shared" ca="1" si="3"/>
        <v>30</v>
      </c>
      <c r="F21" s="11">
        <f t="shared" ca="1" si="4"/>
        <v>36</v>
      </c>
      <c r="G21" s="11">
        <f t="shared" ca="1" si="5"/>
        <v>1</v>
      </c>
      <c r="H21" s="11">
        <f t="shared" ca="1" si="6"/>
        <v>0.6310620316045481</v>
      </c>
      <c r="I21" s="11">
        <f t="shared" ca="1" si="7"/>
        <v>4</v>
      </c>
      <c r="J21" s="11">
        <f t="shared" ca="1" si="8"/>
        <v>34</v>
      </c>
      <c r="K21" s="11">
        <f t="shared" ca="1" si="9"/>
        <v>38</v>
      </c>
      <c r="L21" s="11">
        <f t="shared" ca="1" si="10"/>
        <v>0</v>
      </c>
      <c r="M21" s="11">
        <f t="shared" ca="1" si="11"/>
        <v>4</v>
      </c>
    </row>
    <row r="22" spans="1:13" x14ac:dyDescent="0.45">
      <c r="A22" s="11">
        <v>16</v>
      </c>
      <c r="B22" s="11">
        <f t="shared" ca="1" si="0"/>
        <v>0.4401594954997915</v>
      </c>
      <c r="C22" s="11">
        <f t="shared" ca="1" si="1"/>
        <v>2</v>
      </c>
      <c r="D22" s="11">
        <f t="shared" ca="1" si="2"/>
        <v>36</v>
      </c>
      <c r="E22" s="11">
        <f t="shared" ca="1" si="3"/>
        <v>38</v>
      </c>
      <c r="F22" s="11">
        <f t="shared" ca="1" si="4"/>
        <v>36</v>
      </c>
      <c r="G22" s="11">
        <f t="shared" ca="1" si="5"/>
        <v>2</v>
      </c>
      <c r="H22" s="11">
        <f t="shared" ca="1" si="6"/>
        <v>0.90451640156259794</v>
      </c>
      <c r="I22" s="11">
        <f t="shared" ca="1" si="7"/>
        <v>6</v>
      </c>
      <c r="J22" s="11">
        <f t="shared" ca="1" si="8"/>
        <v>36</v>
      </c>
      <c r="K22" s="11">
        <f t="shared" ca="1" si="9"/>
        <v>42</v>
      </c>
      <c r="L22" s="11">
        <f t="shared" ca="1" si="10"/>
        <v>0</v>
      </c>
      <c r="M22" s="11">
        <f t="shared" ca="1" si="11"/>
        <v>6</v>
      </c>
    </row>
    <row r="23" spans="1:13" x14ac:dyDescent="0.45">
      <c r="A23" s="11">
        <v>17</v>
      </c>
      <c r="B23" s="11">
        <f t="shared" ca="1" si="0"/>
        <v>0.200542870916817</v>
      </c>
      <c r="C23" s="11">
        <f t="shared" ca="1" si="1"/>
        <v>1</v>
      </c>
      <c r="D23" s="11">
        <f t="shared" ca="1" si="2"/>
        <v>37</v>
      </c>
      <c r="E23" s="11">
        <f t="shared" ca="1" si="3"/>
        <v>38</v>
      </c>
      <c r="F23" s="11">
        <f t="shared" ca="1" si="4"/>
        <v>42</v>
      </c>
      <c r="G23" s="11">
        <f t="shared" ca="1" si="5"/>
        <v>1</v>
      </c>
      <c r="H23" s="11">
        <f t="shared" ca="1" si="6"/>
        <v>0.84322215375600773</v>
      </c>
      <c r="I23" s="11">
        <f t="shared" ca="1" si="7"/>
        <v>5</v>
      </c>
      <c r="J23" s="11">
        <f t="shared" ca="1" si="8"/>
        <v>38</v>
      </c>
      <c r="K23" s="11">
        <f t="shared" ca="1" si="9"/>
        <v>43</v>
      </c>
      <c r="L23" s="11">
        <f t="shared" ca="1" si="10"/>
        <v>1</v>
      </c>
      <c r="M23" s="11">
        <f t="shared" ca="1" si="11"/>
        <v>6</v>
      </c>
    </row>
    <row r="24" spans="1:13" x14ac:dyDescent="0.45">
      <c r="A24" s="11">
        <v>18</v>
      </c>
      <c r="B24" s="11">
        <f t="shared" ca="1" si="0"/>
        <v>0.27490721023825193</v>
      </c>
      <c r="C24" s="11">
        <f t="shared" ca="1" si="1"/>
        <v>2</v>
      </c>
      <c r="D24" s="11">
        <f t="shared" ca="1" si="2"/>
        <v>39</v>
      </c>
      <c r="E24" s="11">
        <f t="shared" ca="1" si="3"/>
        <v>43</v>
      </c>
      <c r="F24" s="11">
        <f t="shared" ca="1" si="4"/>
        <v>42</v>
      </c>
      <c r="G24" s="11">
        <f t="shared" ca="1" si="5"/>
        <v>2</v>
      </c>
      <c r="H24" s="11">
        <f t="shared" ca="1" si="6"/>
        <v>0.92925266789472927</v>
      </c>
      <c r="I24" s="11">
        <f t="shared" ca="1" si="7"/>
        <v>6</v>
      </c>
      <c r="J24" s="11">
        <f t="shared" ca="1" si="8"/>
        <v>42</v>
      </c>
      <c r="K24" s="11">
        <f t="shared" ca="1" si="9"/>
        <v>48</v>
      </c>
      <c r="L24" s="11">
        <f t="shared" ca="1" si="10"/>
        <v>3</v>
      </c>
      <c r="M24" s="11">
        <f t="shared" ca="1" si="11"/>
        <v>9</v>
      </c>
    </row>
    <row r="25" spans="1:13" x14ac:dyDescent="0.45">
      <c r="A25" s="11">
        <v>19</v>
      </c>
      <c r="B25" s="11">
        <f t="shared" ca="1" si="0"/>
        <v>0.64121852506337984</v>
      </c>
      <c r="C25" s="11">
        <f t="shared" ca="1" si="1"/>
        <v>2</v>
      </c>
      <c r="D25" s="11">
        <f t="shared" ca="1" si="2"/>
        <v>41</v>
      </c>
      <c r="E25" s="11">
        <f t="shared" ca="1" si="3"/>
        <v>43</v>
      </c>
      <c r="F25" s="11">
        <f t="shared" ca="1" si="4"/>
        <v>48</v>
      </c>
      <c r="G25" s="11">
        <f t="shared" ca="1" si="5"/>
        <v>1</v>
      </c>
      <c r="H25" s="11">
        <f t="shared" ca="1" si="6"/>
        <v>0.368204324488695</v>
      </c>
      <c r="I25" s="11">
        <f t="shared" ca="1" si="7"/>
        <v>3</v>
      </c>
      <c r="J25" s="11">
        <f t="shared" ca="1" si="8"/>
        <v>43</v>
      </c>
      <c r="K25" s="11">
        <f t="shared" ca="1" si="9"/>
        <v>46</v>
      </c>
      <c r="L25" s="11">
        <f t="shared" ca="1" si="10"/>
        <v>2</v>
      </c>
      <c r="M25" s="11">
        <f t="shared" ca="1" si="11"/>
        <v>5</v>
      </c>
    </row>
    <row r="26" spans="1:13" x14ac:dyDescent="0.45">
      <c r="A26" s="11">
        <v>20</v>
      </c>
      <c r="B26" s="11">
        <f t="shared" ca="1" si="0"/>
        <v>0.21690681562301173</v>
      </c>
      <c r="C26" s="11">
        <f t="shared" ca="1" si="1"/>
        <v>1</v>
      </c>
      <c r="D26" s="11">
        <f t="shared" ca="1" si="2"/>
        <v>42</v>
      </c>
      <c r="E26" s="11">
        <f t="shared" ca="1" si="3"/>
        <v>46</v>
      </c>
      <c r="F26" s="11">
        <f t="shared" ca="1" si="4"/>
        <v>48</v>
      </c>
      <c r="G26" s="11">
        <f t="shared" ca="1" si="5"/>
        <v>1</v>
      </c>
      <c r="H26" s="11">
        <f t="shared" ca="1" si="6"/>
        <v>0.572483042131681</v>
      </c>
      <c r="I26" s="11">
        <f t="shared" ca="1" si="7"/>
        <v>3</v>
      </c>
      <c r="J26" s="11">
        <f t="shared" ca="1" si="8"/>
        <v>46</v>
      </c>
      <c r="K26" s="11">
        <f t="shared" ca="1" si="9"/>
        <v>49</v>
      </c>
      <c r="L26" s="11">
        <f t="shared" ca="1" si="10"/>
        <v>4</v>
      </c>
      <c r="M26" s="11">
        <f t="shared" ca="1" si="11"/>
        <v>7</v>
      </c>
    </row>
    <row r="27" spans="1:13" x14ac:dyDescent="0.45">
      <c r="A27" s="11">
        <v>21</v>
      </c>
      <c r="B27" s="11">
        <f t="shared" ca="1" si="0"/>
        <v>0.61194754363718085</v>
      </c>
      <c r="C27" s="11">
        <f t="shared" ca="1" si="1"/>
        <v>2</v>
      </c>
      <c r="D27" s="11">
        <f t="shared" ca="1" si="2"/>
        <v>44</v>
      </c>
      <c r="E27" s="11">
        <f t="shared" ca="1" si="3"/>
        <v>49</v>
      </c>
      <c r="F27" s="11">
        <f t="shared" ca="1" si="4"/>
        <v>48</v>
      </c>
      <c r="G27" s="11">
        <f t="shared" ca="1" si="5"/>
        <v>2</v>
      </c>
      <c r="H27" s="11">
        <f t="shared" ca="1" si="6"/>
        <v>0.88506874889673381</v>
      </c>
      <c r="I27" s="11">
        <f t="shared" ca="1" si="7"/>
        <v>6</v>
      </c>
      <c r="J27" s="11">
        <f t="shared" ca="1" si="8"/>
        <v>48</v>
      </c>
      <c r="K27" s="11">
        <f t="shared" ca="1" si="9"/>
        <v>54</v>
      </c>
      <c r="L27" s="11">
        <f t="shared" ca="1" si="10"/>
        <v>4</v>
      </c>
      <c r="M27" s="11">
        <f t="shared" ca="1" si="11"/>
        <v>10</v>
      </c>
    </row>
    <row r="28" spans="1:13" x14ac:dyDescent="0.45">
      <c r="A28" s="11">
        <v>22</v>
      </c>
      <c r="B28" s="11">
        <f t="shared" ca="1" si="0"/>
        <v>0.46517523138957706</v>
      </c>
      <c r="C28" s="11">
        <f t="shared" ca="1" si="1"/>
        <v>2</v>
      </c>
      <c r="D28" s="11">
        <f t="shared" ca="1" si="2"/>
        <v>46</v>
      </c>
      <c r="E28" s="11">
        <f t="shared" ca="1" si="3"/>
        <v>49</v>
      </c>
      <c r="F28" s="11">
        <f t="shared" ca="1" si="4"/>
        <v>54</v>
      </c>
      <c r="G28" s="11">
        <f t="shared" ca="1" si="5"/>
        <v>1</v>
      </c>
      <c r="H28" s="11">
        <f t="shared" ca="1" si="6"/>
        <v>0.70117433458101819</v>
      </c>
      <c r="I28" s="11">
        <f t="shared" ca="1" si="7"/>
        <v>4</v>
      </c>
      <c r="J28" s="11">
        <f t="shared" ca="1" si="8"/>
        <v>49</v>
      </c>
      <c r="K28" s="11">
        <f t="shared" ca="1" si="9"/>
        <v>53</v>
      </c>
      <c r="L28" s="11">
        <f t="shared" ca="1" si="10"/>
        <v>3</v>
      </c>
      <c r="M28" s="11">
        <f t="shared" ca="1" si="11"/>
        <v>7</v>
      </c>
    </row>
    <row r="29" spans="1:13" x14ac:dyDescent="0.45">
      <c r="A29" s="11">
        <v>23</v>
      </c>
      <c r="B29" s="11">
        <f t="shared" ca="1" si="0"/>
        <v>0.23030748155611347</v>
      </c>
      <c r="C29" s="11">
        <f t="shared" ca="1" si="1"/>
        <v>1</v>
      </c>
      <c r="D29" s="11">
        <f t="shared" ca="1" si="2"/>
        <v>47</v>
      </c>
      <c r="E29" s="11">
        <f t="shared" ca="1" si="3"/>
        <v>53</v>
      </c>
      <c r="F29" s="11">
        <f t="shared" ca="1" si="4"/>
        <v>54</v>
      </c>
      <c r="G29" s="11">
        <f t="shared" ca="1" si="5"/>
        <v>1</v>
      </c>
      <c r="H29" s="11">
        <f t="shared" ca="1" si="6"/>
        <v>0.51075005575594123</v>
      </c>
      <c r="I29" s="11">
        <f t="shared" ca="1" si="7"/>
        <v>3</v>
      </c>
      <c r="J29" s="11">
        <f t="shared" ca="1" si="8"/>
        <v>53</v>
      </c>
      <c r="K29" s="11">
        <f t="shared" ca="1" si="9"/>
        <v>56</v>
      </c>
      <c r="L29" s="11">
        <f t="shared" ca="1" si="10"/>
        <v>6</v>
      </c>
      <c r="M29" s="11">
        <f t="shared" ca="1" si="11"/>
        <v>9</v>
      </c>
    </row>
    <row r="30" spans="1:13" x14ac:dyDescent="0.45">
      <c r="A30" s="11">
        <v>24</v>
      </c>
      <c r="B30" s="11">
        <f t="shared" ca="1" si="0"/>
        <v>0.64262824697935517</v>
      </c>
      <c r="C30" s="11">
        <f t="shared" ca="1" si="1"/>
        <v>2</v>
      </c>
      <c r="D30" s="11">
        <f t="shared" ca="1" si="2"/>
        <v>49</v>
      </c>
      <c r="E30" s="11">
        <f t="shared" ca="1" si="3"/>
        <v>56</v>
      </c>
      <c r="F30" s="11">
        <f t="shared" ca="1" si="4"/>
        <v>54</v>
      </c>
      <c r="G30" s="11">
        <f t="shared" ca="1" si="5"/>
        <v>2</v>
      </c>
      <c r="H30" s="11">
        <f t="shared" ca="1" si="6"/>
        <v>0.91038498885135877</v>
      </c>
      <c r="I30" s="11">
        <f t="shared" ca="1" si="7"/>
        <v>6</v>
      </c>
      <c r="J30" s="11">
        <f t="shared" ca="1" si="8"/>
        <v>54</v>
      </c>
      <c r="K30" s="11">
        <f t="shared" ca="1" si="9"/>
        <v>60</v>
      </c>
      <c r="L30" s="11">
        <f t="shared" ca="1" si="10"/>
        <v>5</v>
      </c>
      <c r="M30" s="11">
        <f t="shared" ca="1" si="11"/>
        <v>11</v>
      </c>
    </row>
    <row r="31" spans="1:13" x14ac:dyDescent="0.45">
      <c r="A31" s="11">
        <v>25</v>
      </c>
      <c r="B31" s="11">
        <f t="shared" ca="1" si="0"/>
        <v>8.4151996095939041E-2</v>
      </c>
      <c r="C31" s="11">
        <f t="shared" ca="1" si="1"/>
        <v>1</v>
      </c>
      <c r="D31" s="11">
        <f t="shared" ca="1" si="2"/>
        <v>50</v>
      </c>
      <c r="E31" s="11">
        <f t="shared" ca="1" si="3"/>
        <v>56</v>
      </c>
      <c r="F31" s="11">
        <f t="shared" ca="1" si="4"/>
        <v>60</v>
      </c>
      <c r="G31" s="11">
        <f t="shared" ca="1" si="5"/>
        <v>1</v>
      </c>
      <c r="H31" s="11">
        <f t="shared" ca="1" si="6"/>
        <v>0.70024891486490015</v>
      </c>
      <c r="I31" s="11">
        <f t="shared" ca="1" si="7"/>
        <v>4</v>
      </c>
      <c r="J31" s="11">
        <f t="shared" ca="1" si="8"/>
        <v>56</v>
      </c>
      <c r="K31" s="11">
        <f t="shared" ca="1" si="9"/>
        <v>60</v>
      </c>
      <c r="L31" s="11">
        <f t="shared" ca="1" si="10"/>
        <v>6</v>
      </c>
      <c r="M31" s="11">
        <f t="shared" ca="1" si="11"/>
        <v>10</v>
      </c>
    </row>
    <row r="32" spans="1:13" x14ac:dyDescent="0.45">
      <c r="A32" s="11">
        <v>26</v>
      </c>
      <c r="B32" s="11">
        <f t="shared" ca="1" si="0"/>
        <v>0.22423656279159987</v>
      </c>
      <c r="C32" s="11">
        <f t="shared" ca="1" si="1"/>
        <v>1</v>
      </c>
      <c r="D32" s="11">
        <f t="shared" ca="1" si="2"/>
        <v>51</v>
      </c>
      <c r="E32" s="11">
        <f t="shared" ca="1" si="3"/>
        <v>60</v>
      </c>
      <c r="F32" s="11">
        <f t="shared" ca="1" si="4"/>
        <v>60</v>
      </c>
      <c r="G32" s="11">
        <f t="shared" ca="1" si="5"/>
        <v>1</v>
      </c>
      <c r="H32" s="11">
        <f t="shared" ca="1" si="6"/>
        <v>0.89148284422932311</v>
      </c>
      <c r="I32" s="11">
        <f t="shared" ca="1" si="7"/>
        <v>5</v>
      </c>
      <c r="J32" s="11">
        <f t="shared" ca="1" si="8"/>
        <v>60</v>
      </c>
      <c r="K32" s="11">
        <f t="shared" ca="1" si="9"/>
        <v>65</v>
      </c>
      <c r="L32" s="11">
        <f t="shared" ca="1" si="10"/>
        <v>9</v>
      </c>
      <c r="M32" s="11">
        <f t="shared" ca="1" si="11"/>
        <v>14</v>
      </c>
    </row>
    <row r="33" spans="1:13" x14ac:dyDescent="0.45">
      <c r="A33" s="11">
        <v>27</v>
      </c>
      <c r="B33" s="11">
        <f t="shared" ca="1" si="0"/>
        <v>0.96127399345637243</v>
      </c>
      <c r="C33" s="11">
        <f t="shared" ca="1" si="1"/>
        <v>4</v>
      </c>
      <c r="D33" s="11">
        <f t="shared" ca="1" si="2"/>
        <v>55</v>
      </c>
      <c r="E33" s="11">
        <f t="shared" ca="1" si="3"/>
        <v>65</v>
      </c>
      <c r="F33" s="11">
        <f t="shared" ca="1" si="4"/>
        <v>60</v>
      </c>
      <c r="G33" s="11">
        <f t="shared" ca="1" si="5"/>
        <v>2</v>
      </c>
      <c r="H33" s="11">
        <f t="shared" ca="1" si="6"/>
        <v>0.68231609037790941</v>
      </c>
      <c r="I33" s="11">
        <f t="shared" ca="1" si="7"/>
        <v>5</v>
      </c>
      <c r="J33" s="11">
        <f t="shared" ca="1" si="8"/>
        <v>60</v>
      </c>
      <c r="K33" s="11">
        <f t="shared" ca="1" si="9"/>
        <v>65</v>
      </c>
      <c r="L33" s="11">
        <f t="shared" ca="1" si="10"/>
        <v>5</v>
      </c>
      <c r="M33" s="11">
        <f t="shared" ca="1" si="11"/>
        <v>10</v>
      </c>
    </row>
    <row r="34" spans="1:13" x14ac:dyDescent="0.45">
      <c r="A34" s="11">
        <v>28</v>
      </c>
      <c r="B34" s="11">
        <f t="shared" ca="1" si="0"/>
        <v>0.18098117815997539</v>
      </c>
      <c r="C34" s="11">
        <f t="shared" ca="1" si="1"/>
        <v>1</v>
      </c>
      <c r="D34" s="11">
        <f t="shared" ca="1" si="2"/>
        <v>56</v>
      </c>
      <c r="E34" s="11">
        <f t="shared" ca="1" si="3"/>
        <v>65</v>
      </c>
      <c r="F34" s="11">
        <f t="shared" ca="1" si="4"/>
        <v>65</v>
      </c>
      <c r="G34" s="11">
        <f t="shared" ca="1" si="5"/>
        <v>1</v>
      </c>
      <c r="H34" s="11">
        <f t="shared" ca="1" si="6"/>
        <v>0.66457070701123799</v>
      </c>
      <c r="I34" s="11">
        <f t="shared" ca="1" si="7"/>
        <v>4</v>
      </c>
      <c r="J34" s="11">
        <f t="shared" ca="1" si="8"/>
        <v>65</v>
      </c>
      <c r="K34" s="11">
        <f t="shared" ca="1" si="9"/>
        <v>69</v>
      </c>
      <c r="L34" s="11">
        <f t="shared" ca="1" si="10"/>
        <v>9</v>
      </c>
      <c r="M34" s="11">
        <f t="shared" ca="1" si="11"/>
        <v>13</v>
      </c>
    </row>
    <row r="35" spans="1:13" x14ac:dyDescent="0.45">
      <c r="A35" s="11">
        <v>29</v>
      </c>
      <c r="B35" s="11">
        <f t="shared" ca="1" si="0"/>
        <v>5.81637785167054E-2</v>
      </c>
      <c r="C35" s="11">
        <f t="shared" ca="1" si="1"/>
        <v>1</v>
      </c>
      <c r="D35" s="11">
        <f t="shared" ca="1" si="2"/>
        <v>57</v>
      </c>
      <c r="E35" s="11">
        <f t="shared" ca="1" si="3"/>
        <v>69</v>
      </c>
      <c r="F35" s="11">
        <f t="shared" ca="1" si="4"/>
        <v>65</v>
      </c>
      <c r="G35" s="11">
        <f t="shared" ca="1" si="5"/>
        <v>2</v>
      </c>
      <c r="H35" s="11">
        <f t="shared" ca="1" si="6"/>
        <v>0.8542176318715925</v>
      </c>
      <c r="I35" s="11">
        <f t="shared" ca="1" si="7"/>
        <v>6</v>
      </c>
      <c r="J35" s="11">
        <f t="shared" ca="1" si="8"/>
        <v>65</v>
      </c>
      <c r="K35" s="11">
        <f t="shared" ca="1" si="9"/>
        <v>71</v>
      </c>
      <c r="L35" s="11">
        <f t="shared" ca="1" si="10"/>
        <v>8</v>
      </c>
      <c r="M35" s="11">
        <f t="shared" ca="1" si="11"/>
        <v>14</v>
      </c>
    </row>
    <row r="36" spans="1:13" x14ac:dyDescent="0.45">
      <c r="A36" s="11">
        <v>30</v>
      </c>
      <c r="B36" s="11">
        <f t="shared" ca="1" si="0"/>
        <v>0.21396268733837676</v>
      </c>
      <c r="C36" s="11">
        <f t="shared" ca="1" si="1"/>
        <v>1</v>
      </c>
      <c r="D36" s="11">
        <f t="shared" ca="1" si="2"/>
        <v>58</v>
      </c>
      <c r="E36" s="11">
        <f t="shared" ca="1" si="3"/>
        <v>69</v>
      </c>
      <c r="F36" s="11">
        <f t="shared" ca="1" si="4"/>
        <v>71</v>
      </c>
      <c r="G36" s="11">
        <f t="shared" ca="1" si="5"/>
        <v>1</v>
      </c>
      <c r="H36" s="11">
        <f t="shared" ca="1" si="6"/>
        <v>0.17268254155945661</v>
      </c>
      <c r="I36" s="11">
        <f t="shared" ca="1" si="7"/>
        <v>2</v>
      </c>
      <c r="J36" s="11">
        <f t="shared" ca="1" si="8"/>
        <v>69</v>
      </c>
      <c r="K36" s="11">
        <f t="shared" ca="1" si="9"/>
        <v>71</v>
      </c>
      <c r="L36" s="11">
        <f t="shared" ca="1" si="10"/>
        <v>11</v>
      </c>
      <c r="M36" s="11">
        <f t="shared" ca="1" si="11"/>
        <v>13</v>
      </c>
    </row>
    <row r="37" spans="1:13" x14ac:dyDescent="0.45">
      <c r="A37" s="11">
        <v>31</v>
      </c>
      <c r="B37" s="11">
        <f t="shared" ca="1" si="0"/>
        <v>0.24597840875678634</v>
      </c>
      <c r="C37" s="11">
        <f t="shared" ca="1" si="1"/>
        <v>1</v>
      </c>
      <c r="D37" s="11">
        <f t="shared" ca="1" si="2"/>
        <v>59</v>
      </c>
      <c r="E37" s="11">
        <f t="shared" ca="1" si="3"/>
        <v>71</v>
      </c>
      <c r="F37" s="11">
        <f t="shared" ca="1" si="4"/>
        <v>71</v>
      </c>
      <c r="G37" s="11">
        <f t="shared" ca="1" si="5"/>
        <v>1</v>
      </c>
      <c r="H37" s="11">
        <f t="shared" ca="1" si="6"/>
        <v>0.12111394185177293</v>
      </c>
      <c r="I37" s="11">
        <f t="shared" ca="1" si="7"/>
        <v>2</v>
      </c>
      <c r="J37" s="11">
        <f t="shared" ca="1" si="8"/>
        <v>71</v>
      </c>
      <c r="K37" s="11">
        <f t="shared" ca="1" si="9"/>
        <v>73</v>
      </c>
      <c r="L37" s="11">
        <f t="shared" ca="1" si="10"/>
        <v>12</v>
      </c>
      <c r="M37" s="11">
        <f t="shared" ca="1" si="11"/>
        <v>14</v>
      </c>
    </row>
    <row r="38" spans="1:13" x14ac:dyDescent="0.45">
      <c r="A38" s="11">
        <v>32</v>
      </c>
      <c r="B38" s="11">
        <f t="shared" ca="1" si="0"/>
        <v>6.2024074680877339E-2</v>
      </c>
      <c r="C38" s="11">
        <f t="shared" ca="1" si="1"/>
        <v>1</v>
      </c>
      <c r="D38" s="11">
        <f t="shared" ca="1" si="2"/>
        <v>60</v>
      </c>
      <c r="E38" s="11">
        <f t="shared" ca="1" si="3"/>
        <v>73</v>
      </c>
      <c r="F38" s="11">
        <f t="shared" ca="1" si="4"/>
        <v>71</v>
      </c>
      <c r="G38" s="11">
        <f t="shared" ca="1" si="5"/>
        <v>2</v>
      </c>
      <c r="H38" s="11">
        <f t="shared" ca="1" si="6"/>
        <v>0.36572509380583784</v>
      </c>
      <c r="I38" s="11">
        <f t="shared" ca="1" si="7"/>
        <v>4</v>
      </c>
      <c r="J38" s="11">
        <f t="shared" ca="1" si="8"/>
        <v>71</v>
      </c>
      <c r="K38" s="11">
        <f t="shared" ca="1" si="9"/>
        <v>75</v>
      </c>
      <c r="L38" s="11">
        <f t="shared" ca="1" si="10"/>
        <v>11</v>
      </c>
      <c r="M38" s="11">
        <f t="shared" ca="1" si="11"/>
        <v>15</v>
      </c>
    </row>
    <row r="39" spans="1:13" x14ac:dyDescent="0.45">
      <c r="A39" s="11">
        <v>33</v>
      </c>
      <c r="B39" s="11">
        <f t="shared" ca="1" si="0"/>
        <v>0.80265120135926937</v>
      </c>
      <c r="C39" s="11">
        <f t="shared" ca="1" si="1"/>
        <v>3</v>
      </c>
      <c r="D39" s="11">
        <f t="shared" ca="1" si="2"/>
        <v>63</v>
      </c>
      <c r="E39" s="11">
        <f t="shared" ca="1" si="3"/>
        <v>73</v>
      </c>
      <c r="F39" s="11">
        <f t="shared" ca="1" si="4"/>
        <v>75</v>
      </c>
      <c r="G39" s="11">
        <f t="shared" ca="1" si="5"/>
        <v>1</v>
      </c>
      <c r="H39" s="11">
        <f t="shared" ca="1" si="6"/>
        <v>0.54018913157790949</v>
      </c>
      <c r="I39" s="11">
        <f t="shared" ca="1" si="7"/>
        <v>3</v>
      </c>
      <c r="J39" s="11">
        <f t="shared" ca="1" si="8"/>
        <v>73</v>
      </c>
      <c r="K39" s="11">
        <f t="shared" ca="1" si="9"/>
        <v>76</v>
      </c>
      <c r="L39" s="11">
        <f t="shared" ca="1" si="10"/>
        <v>10</v>
      </c>
      <c r="M39" s="11">
        <f t="shared" ca="1" si="11"/>
        <v>13</v>
      </c>
    </row>
    <row r="40" spans="1:13" x14ac:dyDescent="0.45">
      <c r="A40" s="11">
        <v>34</v>
      </c>
      <c r="B40" s="11">
        <f t="shared" ca="1" si="0"/>
        <v>0.68333507648602765</v>
      </c>
      <c r="C40" s="11">
        <f t="shared" ca="1" si="1"/>
        <v>3</v>
      </c>
      <c r="D40" s="11">
        <f t="shared" ca="1" si="2"/>
        <v>66</v>
      </c>
      <c r="E40" s="11">
        <f t="shared" ca="1" si="3"/>
        <v>76</v>
      </c>
      <c r="F40" s="11">
        <f t="shared" ca="1" si="4"/>
        <v>75</v>
      </c>
      <c r="G40" s="11">
        <f t="shared" ca="1" si="5"/>
        <v>2</v>
      </c>
      <c r="H40" s="11">
        <f t="shared" ca="1" si="6"/>
        <v>0.44790742658616089</v>
      </c>
      <c r="I40" s="11">
        <f t="shared" ca="1" si="7"/>
        <v>4</v>
      </c>
      <c r="J40" s="11">
        <f t="shared" ca="1" si="8"/>
        <v>75</v>
      </c>
      <c r="K40" s="11">
        <f t="shared" ca="1" si="9"/>
        <v>79</v>
      </c>
      <c r="L40" s="11">
        <f t="shared" ca="1" si="10"/>
        <v>9</v>
      </c>
      <c r="M40" s="11">
        <f t="shared" ca="1" si="11"/>
        <v>13</v>
      </c>
    </row>
    <row r="41" spans="1:13" x14ac:dyDescent="0.45">
      <c r="A41" s="11">
        <v>35</v>
      </c>
      <c r="B41" s="11">
        <f t="shared" ca="1" si="0"/>
        <v>0.63440417681622929</v>
      </c>
      <c r="C41" s="11">
        <f t="shared" ca="1" si="1"/>
        <v>2</v>
      </c>
      <c r="D41" s="11">
        <f t="shared" ca="1" si="2"/>
        <v>68</v>
      </c>
      <c r="E41" s="11">
        <f t="shared" ca="1" si="3"/>
        <v>76</v>
      </c>
      <c r="F41" s="11">
        <f t="shared" ca="1" si="4"/>
        <v>79</v>
      </c>
      <c r="G41" s="11">
        <f t="shared" ca="1" si="5"/>
        <v>1</v>
      </c>
      <c r="H41" s="11">
        <f t="shared" ca="1" si="6"/>
        <v>0.22207670702478199</v>
      </c>
      <c r="I41" s="11">
        <f t="shared" ca="1" si="7"/>
        <v>2</v>
      </c>
      <c r="J41" s="11">
        <f t="shared" ca="1" si="8"/>
        <v>76</v>
      </c>
      <c r="K41" s="11">
        <f t="shared" ca="1" si="9"/>
        <v>78</v>
      </c>
      <c r="L41" s="11">
        <f t="shared" ca="1" si="10"/>
        <v>8</v>
      </c>
      <c r="M41" s="11">
        <f t="shared" ca="1" si="11"/>
        <v>10</v>
      </c>
    </row>
    <row r="42" spans="1:13" x14ac:dyDescent="0.45">
      <c r="A42" s="11">
        <v>36</v>
      </c>
      <c r="B42" s="11">
        <f t="shared" ca="1" si="0"/>
        <v>0.15086549431888197</v>
      </c>
      <c r="C42" s="11">
        <f t="shared" ca="1" si="1"/>
        <v>1</v>
      </c>
      <c r="D42" s="11">
        <f t="shared" ca="1" si="2"/>
        <v>69</v>
      </c>
      <c r="E42" s="11">
        <f t="shared" ca="1" si="3"/>
        <v>78</v>
      </c>
      <c r="F42" s="11">
        <f t="shared" ca="1" si="4"/>
        <v>79</v>
      </c>
      <c r="G42" s="11">
        <f t="shared" ca="1" si="5"/>
        <v>1</v>
      </c>
      <c r="H42" s="11">
        <f t="shared" ca="1" si="6"/>
        <v>0.18462739776457315</v>
      </c>
      <c r="I42" s="11">
        <f t="shared" ca="1" si="7"/>
        <v>2</v>
      </c>
      <c r="J42" s="11">
        <f t="shared" ca="1" si="8"/>
        <v>78</v>
      </c>
      <c r="K42" s="11">
        <f t="shared" ca="1" si="9"/>
        <v>80</v>
      </c>
      <c r="L42" s="11">
        <f t="shared" ca="1" si="10"/>
        <v>9</v>
      </c>
      <c r="M42" s="11">
        <f t="shared" ca="1" si="11"/>
        <v>11</v>
      </c>
    </row>
    <row r="43" spans="1:13" x14ac:dyDescent="0.45">
      <c r="A43" s="11">
        <v>37</v>
      </c>
      <c r="B43" s="11">
        <f t="shared" ca="1" si="0"/>
        <v>0.21516012477552338</v>
      </c>
      <c r="C43" s="11">
        <f t="shared" ca="1" si="1"/>
        <v>1</v>
      </c>
      <c r="D43" s="11">
        <f t="shared" ca="1" si="2"/>
        <v>70</v>
      </c>
      <c r="E43" s="11">
        <f t="shared" ca="1" si="3"/>
        <v>80</v>
      </c>
      <c r="F43" s="11">
        <f t="shared" ca="1" si="4"/>
        <v>79</v>
      </c>
      <c r="G43" s="11">
        <f t="shared" ca="1" si="5"/>
        <v>2</v>
      </c>
      <c r="H43" s="11">
        <f t="shared" ca="1" si="6"/>
        <v>0.22310476288490533</v>
      </c>
      <c r="I43" s="11">
        <f t="shared" ca="1" si="7"/>
        <v>3</v>
      </c>
      <c r="J43" s="11">
        <f t="shared" ca="1" si="8"/>
        <v>79</v>
      </c>
      <c r="K43" s="11">
        <f t="shared" ca="1" si="9"/>
        <v>82</v>
      </c>
      <c r="L43" s="11">
        <f t="shared" ca="1" si="10"/>
        <v>9</v>
      </c>
      <c r="M43" s="11">
        <f t="shared" ca="1" si="11"/>
        <v>12</v>
      </c>
    </row>
    <row r="44" spans="1:13" x14ac:dyDescent="0.45">
      <c r="A44" s="11">
        <v>38</v>
      </c>
      <c r="B44" s="11">
        <f t="shared" ca="1" si="0"/>
        <v>0.56580200217229459</v>
      </c>
      <c r="C44" s="11">
        <f t="shared" ca="1" si="1"/>
        <v>2</v>
      </c>
      <c r="D44" s="11">
        <f t="shared" ca="1" si="2"/>
        <v>72</v>
      </c>
      <c r="E44" s="11">
        <f t="shared" ca="1" si="3"/>
        <v>80</v>
      </c>
      <c r="F44" s="11">
        <f t="shared" ca="1" si="4"/>
        <v>82</v>
      </c>
      <c r="G44" s="11">
        <f t="shared" ca="1" si="5"/>
        <v>1</v>
      </c>
      <c r="H44" s="11">
        <f t="shared" ca="1" si="6"/>
        <v>0.38897990835095286</v>
      </c>
      <c r="I44" s="11">
        <f t="shared" ca="1" si="7"/>
        <v>3</v>
      </c>
      <c r="J44" s="11">
        <f t="shared" ca="1" si="8"/>
        <v>80</v>
      </c>
      <c r="K44" s="11">
        <f t="shared" ca="1" si="9"/>
        <v>83</v>
      </c>
      <c r="L44" s="11">
        <f t="shared" ca="1" si="10"/>
        <v>8</v>
      </c>
      <c r="M44" s="11">
        <f t="shared" ca="1" si="11"/>
        <v>11</v>
      </c>
    </row>
    <row r="45" spans="1:13" x14ac:dyDescent="0.45">
      <c r="A45" s="11">
        <v>39</v>
      </c>
      <c r="B45" s="11">
        <f t="shared" ca="1" si="0"/>
        <v>0.8711235579367973</v>
      </c>
      <c r="C45" s="11">
        <f t="shared" ca="1" si="1"/>
        <v>4</v>
      </c>
      <c r="D45" s="11">
        <f t="shared" ca="1" si="2"/>
        <v>76</v>
      </c>
      <c r="E45" s="11">
        <f t="shared" ca="1" si="3"/>
        <v>83</v>
      </c>
      <c r="F45" s="11">
        <f t="shared" ca="1" si="4"/>
        <v>82</v>
      </c>
      <c r="G45" s="11">
        <f t="shared" ca="1" si="5"/>
        <v>2</v>
      </c>
      <c r="H45" s="11">
        <f t="shared" ca="1" si="6"/>
        <v>0.32266156249669686</v>
      </c>
      <c r="I45" s="11">
        <f t="shared" ca="1" si="7"/>
        <v>3</v>
      </c>
      <c r="J45" s="11">
        <f t="shared" ca="1" si="8"/>
        <v>82</v>
      </c>
      <c r="K45" s="11">
        <f t="shared" ca="1" si="9"/>
        <v>85</v>
      </c>
      <c r="L45" s="11">
        <f t="shared" ca="1" si="10"/>
        <v>6</v>
      </c>
      <c r="M45" s="11">
        <f t="shared" ca="1" si="11"/>
        <v>9</v>
      </c>
    </row>
    <row r="46" spans="1:13" x14ac:dyDescent="0.45">
      <c r="A46" s="11">
        <v>40</v>
      </c>
      <c r="B46" s="11">
        <f t="shared" ca="1" si="0"/>
        <v>0.57194313548068831</v>
      </c>
      <c r="C46" s="11">
        <f t="shared" ca="1" si="1"/>
        <v>2</v>
      </c>
      <c r="D46" s="11">
        <f t="shared" ca="1" si="2"/>
        <v>78</v>
      </c>
      <c r="E46" s="11">
        <f t="shared" ca="1" si="3"/>
        <v>83</v>
      </c>
      <c r="F46" s="11">
        <f t="shared" ca="1" si="4"/>
        <v>85</v>
      </c>
      <c r="G46" s="11">
        <f t="shared" ca="1" si="5"/>
        <v>1</v>
      </c>
      <c r="H46" s="11">
        <f t="shared" ca="1" si="6"/>
        <v>0.78511390264977854</v>
      </c>
      <c r="I46" s="11">
        <f t="shared" ca="1" si="7"/>
        <v>4</v>
      </c>
      <c r="J46" s="11">
        <f t="shared" ca="1" si="8"/>
        <v>83</v>
      </c>
      <c r="K46" s="11">
        <f t="shared" ca="1" si="9"/>
        <v>87</v>
      </c>
      <c r="L46" s="11">
        <f t="shared" ca="1" si="10"/>
        <v>5</v>
      </c>
      <c r="M46" s="11">
        <f t="shared" ca="1" si="11"/>
        <v>9</v>
      </c>
    </row>
    <row r="47" spans="1:13" x14ac:dyDescent="0.45">
      <c r="A47" s="11">
        <v>41</v>
      </c>
      <c r="B47" s="11">
        <f t="shared" ca="1" si="0"/>
        <v>0.76480092717988835</v>
      </c>
      <c r="C47" s="11">
        <f t="shared" ca="1" si="1"/>
        <v>3</v>
      </c>
      <c r="D47" s="11">
        <f t="shared" ca="1" si="2"/>
        <v>81</v>
      </c>
      <c r="E47" s="11">
        <f t="shared" ca="1" si="3"/>
        <v>87</v>
      </c>
      <c r="F47" s="11">
        <f t="shared" ca="1" si="4"/>
        <v>85</v>
      </c>
      <c r="G47" s="11">
        <f t="shared" ca="1" si="5"/>
        <v>2</v>
      </c>
      <c r="H47" s="11">
        <f t="shared" ca="1" si="6"/>
        <v>0.38537578067494049</v>
      </c>
      <c r="I47" s="11">
        <f t="shared" ca="1" si="7"/>
        <v>4</v>
      </c>
      <c r="J47" s="11">
        <f t="shared" ca="1" si="8"/>
        <v>85</v>
      </c>
      <c r="K47" s="11">
        <f t="shared" ca="1" si="9"/>
        <v>89</v>
      </c>
      <c r="L47" s="11">
        <f t="shared" ca="1" si="10"/>
        <v>4</v>
      </c>
      <c r="M47" s="11">
        <f t="shared" ca="1" si="11"/>
        <v>8</v>
      </c>
    </row>
    <row r="48" spans="1:13" x14ac:dyDescent="0.45">
      <c r="A48" s="11">
        <v>42</v>
      </c>
      <c r="B48" s="11">
        <f t="shared" ca="1" si="0"/>
        <v>0.40963980099472197</v>
      </c>
      <c r="C48" s="11">
        <f t="shared" ca="1" si="1"/>
        <v>2</v>
      </c>
      <c r="D48" s="11">
        <f t="shared" ca="1" si="2"/>
        <v>83</v>
      </c>
      <c r="E48" s="11">
        <f t="shared" ca="1" si="3"/>
        <v>87</v>
      </c>
      <c r="F48" s="11">
        <f t="shared" ca="1" si="4"/>
        <v>89</v>
      </c>
      <c r="G48" s="11">
        <f t="shared" ca="1" si="5"/>
        <v>1</v>
      </c>
      <c r="H48" s="11">
        <f t="shared" ca="1" si="6"/>
        <v>0.10760401895803806</v>
      </c>
      <c r="I48" s="11">
        <f t="shared" ca="1" si="7"/>
        <v>2</v>
      </c>
      <c r="J48" s="11">
        <f t="shared" ca="1" si="8"/>
        <v>87</v>
      </c>
      <c r="K48" s="11">
        <f t="shared" ca="1" si="9"/>
        <v>89</v>
      </c>
      <c r="L48" s="11">
        <f t="shared" ca="1" si="10"/>
        <v>4</v>
      </c>
      <c r="M48" s="11">
        <f t="shared" ca="1" si="11"/>
        <v>6</v>
      </c>
    </row>
    <row r="49" spans="1:13" x14ac:dyDescent="0.45">
      <c r="A49" s="11">
        <v>43</v>
      </c>
      <c r="B49" s="11">
        <f t="shared" ca="1" si="0"/>
        <v>0.50602025222166747</v>
      </c>
      <c r="C49" s="11">
        <f t="shared" ca="1" si="1"/>
        <v>2</v>
      </c>
      <c r="D49" s="11">
        <f t="shared" ca="1" si="2"/>
        <v>85</v>
      </c>
      <c r="E49" s="11">
        <f t="shared" ca="1" si="3"/>
        <v>89</v>
      </c>
      <c r="F49" s="11">
        <f t="shared" ca="1" si="4"/>
        <v>89</v>
      </c>
      <c r="G49" s="11">
        <f t="shared" ca="1" si="5"/>
        <v>1</v>
      </c>
      <c r="H49" s="11">
        <f t="shared" ca="1" si="6"/>
        <v>0.26758471504241277</v>
      </c>
      <c r="I49" s="11">
        <f t="shared" ca="1" si="7"/>
        <v>2</v>
      </c>
      <c r="J49" s="11">
        <f t="shared" ca="1" si="8"/>
        <v>89</v>
      </c>
      <c r="K49" s="11">
        <f t="shared" ca="1" si="9"/>
        <v>91</v>
      </c>
      <c r="L49" s="11">
        <f t="shared" ca="1" si="10"/>
        <v>4</v>
      </c>
      <c r="M49" s="11">
        <f t="shared" ca="1" si="11"/>
        <v>6</v>
      </c>
    </row>
    <row r="50" spans="1:13" x14ac:dyDescent="0.45">
      <c r="A50" s="11">
        <v>44</v>
      </c>
      <c r="B50" s="11">
        <f t="shared" ca="1" si="0"/>
        <v>0.96517028460287768</v>
      </c>
      <c r="C50" s="11">
        <f t="shared" ca="1" si="1"/>
        <v>4</v>
      </c>
      <c r="D50" s="11">
        <f t="shared" ca="1" si="2"/>
        <v>89</v>
      </c>
      <c r="E50" s="11">
        <f t="shared" ca="1" si="3"/>
        <v>91</v>
      </c>
      <c r="F50" s="11">
        <f t="shared" ca="1" si="4"/>
        <v>89</v>
      </c>
      <c r="G50" s="11">
        <f t="shared" ca="1" si="5"/>
        <v>2</v>
      </c>
      <c r="H50" s="11">
        <f t="shared" ca="1" si="6"/>
        <v>0.96817526358211714</v>
      </c>
      <c r="I50" s="11">
        <f t="shared" ca="1" si="7"/>
        <v>6</v>
      </c>
      <c r="J50" s="11">
        <f t="shared" ca="1" si="8"/>
        <v>89</v>
      </c>
      <c r="K50" s="11">
        <f t="shared" ca="1" si="9"/>
        <v>95</v>
      </c>
      <c r="L50" s="11">
        <f t="shared" ca="1" si="10"/>
        <v>0</v>
      </c>
      <c r="M50" s="11">
        <f t="shared" ca="1" si="11"/>
        <v>6</v>
      </c>
    </row>
    <row r="51" spans="1:13" x14ac:dyDescent="0.45">
      <c r="A51" s="11">
        <v>45</v>
      </c>
      <c r="B51" s="11">
        <f t="shared" ca="1" si="0"/>
        <v>0.89027012117233817</v>
      </c>
      <c r="C51" s="11">
        <f t="shared" ca="1" si="1"/>
        <v>4</v>
      </c>
      <c r="D51" s="11">
        <f t="shared" ca="1" si="2"/>
        <v>93</v>
      </c>
      <c r="E51" s="11">
        <f t="shared" ca="1" si="3"/>
        <v>91</v>
      </c>
      <c r="F51" s="11">
        <f t="shared" ca="1" si="4"/>
        <v>95</v>
      </c>
      <c r="G51" s="11">
        <f t="shared" ca="1" si="5"/>
        <v>1</v>
      </c>
      <c r="H51" s="11">
        <f t="shared" ca="1" si="6"/>
        <v>0.15040259447702764</v>
      </c>
      <c r="I51" s="11">
        <f t="shared" ca="1" si="7"/>
        <v>2</v>
      </c>
      <c r="J51" s="11">
        <f t="shared" ca="1" si="8"/>
        <v>93</v>
      </c>
      <c r="K51" s="11">
        <f t="shared" ca="1" si="9"/>
        <v>95</v>
      </c>
      <c r="L51" s="11">
        <f t="shared" ca="1" si="10"/>
        <v>0</v>
      </c>
      <c r="M51" s="11">
        <f t="shared" ca="1" si="11"/>
        <v>2</v>
      </c>
    </row>
    <row r="52" spans="1:13" x14ac:dyDescent="0.45">
      <c r="A52" s="11">
        <v>46</v>
      </c>
      <c r="B52" s="11">
        <f t="shared" ca="1" si="0"/>
        <v>0.33167108400300682</v>
      </c>
      <c r="C52" s="11">
        <f t="shared" ca="1" si="1"/>
        <v>2</v>
      </c>
      <c r="D52" s="11">
        <f t="shared" ca="1" si="2"/>
        <v>95</v>
      </c>
      <c r="E52" s="11">
        <f t="shared" ca="1" si="3"/>
        <v>95</v>
      </c>
      <c r="F52" s="11">
        <f t="shared" ca="1" si="4"/>
        <v>95</v>
      </c>
      <c r="G52" s="11">
        <f t="shared" ca="1" si="5"/>
        <v>1</v>
      </c>
      <c r="H52" s="11">
        <f t="shared" ca="1" si="6"/>
        <v>0.17617515057985245</v>
      </c>
      <c r="I52" s="11">
        <f t="shared" ca="1" si="7"/>
        <v>2</v>
      </c>
      <c r="J52" s="11">
        <f t="shared" ca="1" si="8"/>
        <v>95</v>
      </c>
      <c r="K52" s="11">
        <f t="shared" ca="1" si="9"/>
        <v>97</v>
      </c>
      <c r="L52" s="11">
        <f t="shared" ca="1" si="10"/>
        <v>0</v>
      </c>
      <c r="M52" s="11">
        <f t="shared" ca="1" si="11"/>
        <v>2</v>
      </c>
    </row>
    <row r="53" spans="1:13" x14ac:dyDescent="0.45">
      <c r="A53" s="11">
        <v>47</v>
      </c>
      <c r="B53" s="11">
        <f t="shared" ca="1" si="0"/>
        <v>0.22687301609619315</v>
      </c>
      <c r="C53" s="11">
        <f t="shared" ca="1" si="1"/>
        <v>1</v>
      </c>
      <c r="D53" s="11">
        <f t="shared" ca="1" si="2"/>
        <v>96</v>
      </c>
      <c r="E53" s="11">
        <f t="shared" ca="1" si="3"/>
        <v>97</v>
      </c>
      <c r="F53" s="11">
        <f t="shared" ca="1" si="4"/>
        <v>95</v>
      </c>
      <c r="G53" s="11">
        <f t="shared" ca="1" si="5"/>
        <v>2</v>
      </c>
      <c r="H53" s="11">
        <f t="shared" ca="1" si="6"/>
        <v>0.97094081708583857</v>
      </c>
      <c r="I53" s="11">
        <f t="shared" ca="1" si="7"/>
        <v>6</v>
      </c>
      <c r="J53" s="11">
        <f t="shared" ca="1" si="8"/>
        <v>96</v>
      </c>
      <c r="K53" s="11">
        <f t="shared" ca="1" si="9"/>
        <v>102</v>
      </c>
      <c r="L53" s="11">
        <f t="shared" ca="1" si="10"/>
        <v>0</v>
      </c>
      <c r="M53" s="11">
        <f t="shared" ca="1" si="11"/>
        <v>6</v>
      </c>
    </row>
    <row r="54" spans="1:13" x14ac:dyDescent="0.45">
      <c r="A54" s="11">
        <v>48</v>
      </c>
      <c r="B54" s="11">
        <f t="shared" ca="1" si="0"/>
        <v>0.66017820152714535</v>
      </c>
      <c r="C54" s="11">
        <f t="shared" ca="1" si="1"/>
        <v>3</v>
      </c>
      <c r="D54" s="11">
        <f t="shared" ca="1" si="2"/>
        <v>99</v>
      </c>
      <c r="E54" s="11">
        <f t="shared" ca="1" si="3"/>
        <v>97</v>
      </c>
      <c r="F54" s="11">
        <f t="shared" ca="1" si="4"/>
        <v>102</v>
      </c>
      <c r="G54" s="11">
        <f t="shared" ca="1" si="5"/>
        <v>1</v>
      </c>
      <c r="H54" s="11">
        <f t="shared" ca="1" si="6"/>
        <v>0.1197348864312231</v>
      </c>
      <c r="I54" s="11">
        <f t="shared" ca="1" si="7"/>
        <v>2</v>
      </c>
      <c r="J54" s="11">
        <f t="shared" ca="1" si="8"/>
        <v>99</v>
      </c>
      <c r="K54" s="11">
        <f t="shared" ca="1" si="9"/>
        <v>101</v>
      </c>
      <c r="L54" s="11">
        <f t="shared" ca="1" si="10"/>
        <v>0</v>
      </c>
      <c r="M54" s="11">
        <f t="shared" ca="1" si="11"/>
        <v>2</v>
      </c>
    </row>
    <row r="55" spans="1:13" x14ac:dyDescent="0.45">
      <c r="A55" s="11">
        <v>49</v>
      </c>
      <c r="B55" s="11">
        <f t="shared" ca="1" si="0"/>
        <v>0.75765612221311562</v>
      </c>
      <c r="C55" s="11">
        <f t="shared" ca="1" si="1"/>
        <v>3</v>
      </c>
      <c r="D55" s="11">
        <f t="shared" ca="1" si="2"/>
        <v>102</v>
      </c>
      <c r="E55" s="11">
        <f t="shared" ca="1" si="3"/>
        <v>101</v>
      </c>
      <c r="F55" s="11">
        <f t="shared" ca="1" si="4"/>
        <v>102</v>
      </c>
      <c r="G55" s="11">
        <f t="shared" ca="1" si="5"/>
        <v>1</v>
      </c>
      <c r="H55" s="11">
        <f t="shared" ca="1" si="6"/>
        <v>6.4749638094111495E-3</v>
      </c>
      <c r="I55" s="11">
        <f t="shared" ca="1" si="7"/>
        <v>2</v>
      </c>
      <c r="J55" s="11">
        <f t="shared" ca="1" si="8"/>
        <v>102</v>
      </c>
      <c r="K55" s="11">
        <f t="shared" ca="1" si="9"/>
        <v>104</v>
      </c>
      <c r="L55" s="11">
        <f t="shared" ca="1" si="10"/>
        <v>0</v>
      </c>
      <c r="M55" s="11">
        <f t="shared" ca="1" si="11"/>
        <v>2</v>
      </c>
    </row>
    <row r="56" spans="1:13" x14ac:dyDescent="0.45">
      <c r="A56" s="11">
        <v>50</v>
      </c>
      <c r="B56" s="11">
        <f t="shared" ca="1" si="0"/>
        <v>0.89953930525045356</v>
      </c>
      <c r="C56" s="11">
        <f t="shared" ca="1" si="1"/>
        <v>4</v>
      </c>
      <c r="D56" s="11">
        <f t="shared" ca="1" si="2"/>
        <v>106</v>
      </c>
      <c r="E56" s="11">
        <f t="shared" ca="1" si="3"/>
        <v>104</v>
      </c>
      <c r="F56" s="11">
        <f t="shared" ca="1" si="4"/>
        <v>102</v>
      </c>
      <c r="G56" s="11">
        <f t="shared" ca="1" si="5"/>
        <v>2</v>
      </c>
      <c r="H56" s="11">
        <f t="shared" ca="1" si="6"/>
        <v>0.54001961159520573</v>
      </c>
      <c r="I56" s="11">
        <f t="shared" ca="1" si="7"/>
        <v>4</v>
      </c>
      <c r="J56" s="11">
        <f t="shared" ca="1" si="8"/>
        <v>106</v>
      </c>
      <c r="K56" s="11">
        <f t="shared" ca="1" si="9"/>
        <v>110</v>
      </c>
      <c r="L56" s="11">
        <f t="shared" ca="1" si="10"/>
        <v>0</v>
      </c>
      <c r="M56" s="11">
        <f t="shared" ca="1" si="11"/>
        <v>4</v>
      </c>
    </row>
    <row r="57" spans="1:13" x14ac:dyDescent="0.45">
      <c r="A57" s="11">
        <v>51</v>
      </c>
      <c r="B57" s="11">
        <f t="shared" ca="1" si="0"/>
        <v>0.87311551424727651</v>
      </c>
      <c r="C57" s="11">
        <f t="shared" ca="1" si="1"/>
        <v>4</v>
      </c>
      <c r="D57" s="11">
        <f t="shared" ca="1" si="2"/>
        <v>110</v>
      </c>
      <c r="E57" s="11">
        <f t="shared" ca="1" si="3"/>
        <v>104</v>
      </c>
      <c r="F57" s="11">
        <f t="shared" ca="1" si="4"/>
        <v>110</v>
      </c>
      <c r="G57" s="11">
        <f t="shared" ca="1" si="5"/>
        <v>1</v>
      </c>
      <c r="H57" s="11">
        <f t="shared" ca="1" si="6"/>
        <v>0.53026114687592263</v>
      </c>
      <c r="I57" s="11">
        <f t="shared" ca="1" si="7"/>
        <v>3</v>
      </c>
      <c r="J57" s="11">
        <f t="shared" ca="1" si="8"/>
        <v>110</v>
      </c>
      <c r="K57" s="11">
        <f t="shared" ca="1" si="9"/>
        <v>113</v>
      </c>
      <c r="L57" s="11">
        <f t="shared" ca="1" si="10"/>
        <v>0</v>
      </c>
      <c r="M57" s="11">
        <f t="shared" ca="1" si="11"/>
        <v>3</v>
      </c>
    </row>
    <row r="58" spans="1:13" x14ac:dyDescent="0.45">
      <c r="A58" s="11">
        <v>52</v>
      </c>
      <c r="B58" s="11">
        <f t="shared" ca="1" si="0"/>
        <v>0.96605230117745</v>
      </c>
      <c r="C58" s="11">
        <f t="shared" ca="1" si="1"/>
        <v>4</v>
      </c>
      <c r="D58" s="11">
        <f t="shared" ca="1" si="2"/>
        <v>114</v>
      </c>
      <c r="E58" s="11">
        <f t="shared" ca="1" si="3"/>
        <v>113</v>
      </c>
      <c r="F58" s="11">
        <f t="shared" ca="1" si="4"/>
        <v>110</v>
      </c>
      <c r="G58" s="11">
        <f t="shared" ca="1" si="5"/>
        <v>2</v>
      </c>
      <c r="H58" s="11">
        <f t="shared" ca="1" si="6"/>
        <v>0.30924567551406834</v>
      </c>
      <c r="I58" s="11">
        <f t="shared" ca="1" si="7"/>
        <v>3</v>
      </c>
      <c r="J58" s="11">
        <f t="shared" ca="1" si="8"/>
        <v>114</v>
      </c>
      <c r="K58" s="11">
        <f t="shared" ca="1" si="9"/>
        <v>117</v>
      </c>
      <c r="L58" s="11">
        <f t="shared" ca="1" si="10"/>
        <v>0</v>
      </c>
      <c r="M58" s="11">
        <f t="shared" ca="1" si="11"/>
        <v>3</v>
      </c>
    </row>
    <row r="59" spans="1:13" x14ac:dyDescent="0.45">
      <c r="A59" s="11">
        <v>53</v>
      </c>
      <c r="B59" s="11">
        <f t="shared" ca="1" si="0"/>
        <v>8.1628523769130656E-2</v>
      </c>
      <c r="C59" s="11">
        <f t="shared" ca="1" si="1"/>
        <v>1</v>
      </c>
      <c r="D59" s="11">
        <f t="shared" ca="1" si="2"/>
        <v>115</v>
      </c>
      <c r="E59" s="11">
        <f t="shared" ca="1" si="3"/>
        <v>113</v>
      </c>
      <c r="F59" s="11">
        <f t="shared" ca="1" si="4"/>
        <v>117</v>
      </c>
      <c r="G59" s="11">
        <f t="shared" ca="1" si="5"/>
        <v>1</v>
      </c>
      <c r="H59" s="11">
        <f t="shared" ca="1" si="6"/>
        <v>0.94931981323555026</v>
      </c>
      <c r="I59" s="11">
        <f t="shared" ca="1" si="7"/>
        <v>5</v>
      </c>
      <c r="J59" s="11">
        <f t="shared" ca="1" si="8"/>
        <v>115</v>
      </c>
      <c r="K59" s="11">
        <f t="shared" ca="1" si="9"/>
        <v>120</v>
      </c>
      <c r="L59" s="11">
        <f t="shared" ca="1" si="10"/>
        <v>0</v>
      </c>
      <c r="M59" s="11">
        <f t="shared" ca="1" si="11"/>
        <v>5</v>
      </c>
    </row>
    <row r="60" spans="1:13" x14ac:dyDescent="0.45">
      <c r="A60" s="11">
        <v>54</v>
      </c>
      <c r="B60" s="11">
        <f t="shared" ca="1" si="0"/>
        <v>0.95022853863347323</v>
      </c>
      <c r="C60" s="11">
        <f t="shared" ca="1" si="1"/>
        <v>4</v>
      </c>
      <c r="D60" s="11">
        <f t="shared" ca="1" si="2"/>
        <v>119</v>
      </c>
      <c r="E60" s="11">
        <f t="shared" ca="1" si="3"/>
        <v>120</v>
      </c>
      <c r="F60" s="11">
        <f t="shared" ca="1" si="4"/>
        <v>117</v>
      </c>
      <c r="G60" s="11">
        <f t="shared" ca="1" si="5"/>
        <v>2</v>
      </c>
      <c r="H60" s="11">
        <f t="shared" ca="1" si="6"/>
        <v>0.71351999403351685</v>
      </c>
      <c r="I60" s="11">
        <f t="shared" ca="1" si="7"/>
        <v>5</v>
      </c>
      <c r="J60" s="11">
        <f t="shared" ca="1" si="8"/>
        <v>119</v>
      </c>
      <c r="K60" s="11">
        <f t="shared" ca="1" si="9"/>
        <v>124</v>
      </c>
      <c r="L60" s="11">
        <f t="shared" ca="1" si="10"/>
        <v>0</v>
      </c>
      <c r="M60" s="11">
        <f t="shared" ca="1" si="11"/>
        <v>5</v>
      </c>
    </row>
    <row r="61" spans="1:13" x14ac:dyDescent="0.45">
      <c r="A61" s="11">
        <v>55</v>
      </c>
      <c r="B61" s="11">
        <f t="shared" ca="1" si="0"/>
        <v>0.81621654392189158</v>
      </c>
      <c r="C61" s="11">
        <f t="shared" ca="1" si="1"/>
        <v>3</v>
      </c>
      <c r="D61" s="11">
        <f t="shared" ca="1" si="2"/>
        <v>122</v>
      </c>
      <c r="E61" s="11">
        <f t="shared" ca="1" si="3"/>
        <v>120</v>
      </c>
      <c r="F61" s="11">
        <f t="shared" ca="1" si="4"/>
        <v>124</v>
      </c>
      <c r="G61" s="11">
        <f t="shared" ca="1" si="5"/>
        <v>1</v>
      </c>
      <c r="H61" s="11">
        <f t="shared" ca="1" si="6"/>
        <v>0.26945782698457832</v>
      </c>
      <c r="I61" s="11">
        <f t="shared" ca="1" si="7"/>
        <v>2</v>
      </c>
      <c r="J61" s="11">
        <f t="shared" ca="1" si="8"/>
        <v>122</v>
      </c>
      <c r="K61" s="11">
        <f t="shared" ca="1" si="9"/>
        <v>124</v>
      </c>
      <c r="L61" s="11">
        <f t="shared" ca="1" si="10"/>
        <v>0</v>
      </c>
      <c r="M61" s="11">
        <f t="shared" ca="1" si="11"/>
        <v>2</v>
      </c>
    </row>
    <row r="62" spans="1:13" x14ac:dyDescent="0.45">
      <c r="A62" s="11">
        <v>56</v>
      </c>
      <c r="B62" s="11">
        <f t="shared" ca="1" si="0"/>
        <v>0.95858774765231969</v>
      </c>
      <c r="C62" s="11">
        <f t="shared" ca="1" si="1"/>
        <v>4</v>
      </c>
      <c r="D62" s="11">
        <f t="shared" ca="1" si="2"/>
        <v>126</v>
      </c>
      <c r="E62" s="11">
        <f t="shared" ca="1" si="3"/>
        <v>124</v>
      </c>
      <c r="F62" s="11">
        <f t="shared" ca="1" si="4"/>
        <v>124</v>
      </c>
      <c r="G62" s="11">
        <f t="shared" ca="1" si="5"/>
        <v>1</v>
      </c>
      <c r="H62" s="11">
        <f t="shared" ca="1" si="6"/>
        <v>0.92175111566848189</v>
      </c>
      <c r="I62" s="11">
        <f t="shared" ca="1" si="7"/>
        <v>5</v>
      </c>
      <c r="J62" s="11">
        <f t="shared" ca="1" si="8"/>
        <v>126</v>
      </c>
      <c r="K62" s="11">
        <f t="shared" ca="1" si="9"/>
        <v>131</v>
      </c>
      <c r="L62" s="11">
        <f t="shared" ca="1" si="10"/>
        <v>0</v>
      </c>
      <c r="M62" s="11">
        <f t="shared" ca="1" si="11"/>
        <v>5</v>
      </c>
    </row>
    <row r="63" spans="1:13" x14ac:dyDescent="0.45">
      <c r="A63" s="11">
        <v>57</v>
      </c>
      <c r="B63" s="11">
        <f t="shared" ca="1" si="0"/>
        <v>0.13239882484726817</v>
      </c>
      <c r="C63" s="11">
        <f t="shared" ca="1" si="1"/>
        <v>1</v>
      </c>
      <c r="D63" s="11">
        <f t="shared" ca="1" si="2"/>
        <v>127</v>
      </c>
      <c r="E63" s="11">
        <f t="shared" ca="1" si="3"/>
        <v>131</v>
      </c>
      <c r="F63" s="11">
        <f t="shared" ca="1" si="4"/>
        <v>124</v>
      </c>
      <c r="G63" s="11">
        <f t="shared" ca="1" si="5"/>
        <v>2</v>
      </c>
      <c r="H63" s="11">
        <f t="shared" ca="1" si="6"/>
        <v>0.65937677645049808</v>
      </c>
      <c r="I63" s="11">
        <f t="shared" ca="1" si="7"/>
        <v>5</v>
      </c>
      <c r="J63" s="11">
        <f t="shared" ca="1" si="8"/>
        <v>127</v>
      </c>
      <c r="K63" s="11">
        <f t="shared" ca="1" si="9"/>
        <v>132</v>
      </c>
      <c r="L63" s="11">
        <f t="shared" ca="1" si="10"/>
        <v>0</v>
      </c>
      <c r="M63" s="11">
        <f t="shared" ca="1" si="11"/>
        <v>5</v>
      </c>
    </row>
    <row r="64" spans="1:13" x14ac:dyDescent="0.45">
      <c r="A64" s="11">
        <v>58</v>
      </c>
      <c r="B64" s="11">
        <f t="shared" ca="1" si="0"/>
        <v>0.3350066325649812</v>
      </c>
      <c r="C64" s="11">
        <f t="shared" ca="1" si="1"/>
        <v>2</v>
      </c>
      <c r="D64" s="11">
        <f t="shared" ca="1" si="2"/>
        <v>129</v>
      </c>
      <c r="E64" s="11">
        <f t="shared" ca="1" si="3"/>
        <v>131</v>
      </c>
      <c r="F64" s="11">
        <f t="shared" ca="1" si="4"/>
        <v>132</v>
      </c>
      <c r="G64" s="11">
        <f t="shared" ca="1" si="5"/>
        <v>1</v>
      </c>
      <c r="H64" s="11">
        <f t="shared" ca="1" si="6"/>
        <v>0.36179441644715282</v>
      </c>
      <c r="I64" s="11">
        <f t="shared" ca="1" si="7"/>
        <v>3</v>
      </c>
      <c r="J64" s="11">
        <f t="shared" ca="1" si="8"/>
        <v>131</v>
      </c>
      <c r="K64" s="11">
        <f t="shared" ca="1" si="9"/>
        <v>134</v>
      </c>
      <c r="L64" s="11">
        <f t="shared" ca="1" si="10"/>
        <v>2</v>
      </c>
      <c r="M64" s="11">
        <f t="shared" ca="1" si="11"/>
        <v>5</v>
      </c>
    </row>
    <row r="65" spans="1:13" x14ac:dyDescent="0.45">
      <c r="A65" s="11">
        <v>59</v>
      </c>
      <c r="B65" s="11">
        <f t="shared" ca="1" si="0"/>
        <v>0.18245171490786927</v>
      </c>
      <c r="C65" s="11">
        <f t="shared" ca="1" si="1"/>
        <v>1</v>
      </c>
      <c r="D65" s="11">
        <f t="shared" ca="1" si="2"/>
        <v>130</v>
      </c>
      <c r="E65" s="11">
        <f t="shared" ca="1" si="3"/>
        <v>134</v>
      </c>
      <c r="F65" s="11">
        <f t="shared" ca="1" si="4"/>
        <v>132</v>
      </c>
      <c r="G65" s="11">
        <f t="shared" ca="1" si="5"/>
        <v>2</v>
      </c>
      <c r="H65" s="11">
        <f t="shared" ca="1" si="6"/>
        <v>0.51720316032352609</v>
      </c>
      <c r="I65" s="11">
        <f t="shared" ca="1" si="7"/>
        <v>4</v>
      </c>
      <c r="J65" s="11">
        <f t="shared" ca="1" si="8"/>
        <v>132</v>
      </c>
      <c r="K65" s="11">
        <f t="shared" ca="1" si="9"/>
        <v>136</v>
      </c>
      <c r="L65" s="11">
        <f t="shared" ca="1" si="10"/>
        <v>2</v>
      </c>
      <c r="M65" s="11">
        <f t="shared" ca="1" si="11"/>
        <v>6</v>
      </c>
    </row>
    <row r="66" spans="1:13" x14ac:dyDescent="0.45">
      <c r="A66" s="11">
        <v>60</v>
      </c>
      <c r="B66" s="11">
        <f t="shared" ca="1" si="0"/>
        <v>0.47405468086924618</v>
      </c>
      <c r="C66" s="11">
        <f t="shared" ca="1" si="1"/>
        <v>2</v>
      </c>
      <c r="D66" s="11">
        <f t="shared" ca="1" si="2"/>
        <v>132</v>
      </c>
      <c r="E66" s="11">
        <f t="shared" ca="1" si="3"/>
        <v>134</v>
      </c>
      <c r="F66" s="11">
        <f t="shared" ca="1" si="4"/>
        <v>136</v>
      </c>
      <c r="G66" s="11">
        <f t="shared" ca="1" si="5"/>
        <v>1</v>
      </c>
      <c r="H66" s="11">
        <f t="shared" ca="1" si="6"/>
        <v>0.37184677667077404</v>
      </c>
      <c r="I66" s="11">
        <f t="shared" ca="1" si="7"/>
        <v>3</v>
      </c>
      <c r="J66" s="11">
        <f t="shared" ca="1" si="8"/>
        <v>134</v>
      </c>
      <c r="K66" s="11">
        <f t="shared" ca="1" si="9"/>
        <v>137</v>
      </c>
      <c r="L66" s="11">
        <f t="shared" ca="1" si="10"/>
        <v>2</v>
      </c>
      <c r="M66" s="11">
        <f t="shared" ca="1" si="11"/>
        <v>5</v>
      </c>
    </row>
    <row r="67" spans="1:13" x14ac:dyDescent="0.45">
      <c r="A67" s="11">
        <v>61</v>
      </c>
      <c r="B67" s="11">
        <f t="shared" ca="1" si="0"/>
        <v>0.89180094398350163</v>
      </c>
      <c r="C67" s="11">
        <f t="shared" ca="1" si="1"/>
        <v>4</v>
      </c>
      <c r="D67" s="11">
        <f t="shared" ca="1" si="2"/>
        <v>136</v>
      </c>
      <c r="E67" s="11">
        <f t="shared" ca="1" si="3"/>
        <v>137</v>
      </c>
      <c r="F67" s="11">
        <f t="shared" ca="1" si="4"/>
        <v>136</v>
      </c>
      <c r="G67" s="11">
        <f t="shared" ca="1" si="5"/>
        <v>2</v>
      </c>
      <c r="H67" s="11">
        <f t="shared" ca="1" si="6"/>
        <v>0.36250366556741531</v>
      </c>
      <c r="I67" s="11">
        <f t="shared" ca="1" si="7"/>
        <v>4</v>
      </c>
      <c r="J67" s="11">
        <f t="shared" ca="1" si="8"/>
        <v>136</v>
      </c>
      <c r="K67" s="11">
        <f t="shared" ca="1" si="9"/>
        <v>140</v>
      </c>
      <c r="L67" s="11">
        <f t="shared" ca="1" si="10"/>
        <v>0</v>
      </c>
      <c r="M67" s="11">
        <f t="shared" ca="1" si="11"/>
        <v>4</v>
      </c>
    </row>
    <row r="68" spans="1:13" x14ac:dyDescent="0.45">
      <c r="A68" s="11">
        <v>62</v>
      </c>
      <c r="B68" s="11">
        <f t="shared" ca="1" si="0"/>
        <v>0.57348967366137127</v>
      </c>
      <c r="C68" s="11">
        <f t="shared" ca="1" si="1"/>
        <v>2</v>
      </c>
      <c r="D68" s="11">
        <f t="shared" ca="1" si="2"/>
        <v>138</v>
      </c>
      <c r="E68" s="11">
        <f t="shared" ca="1" si="3"/>
        <v>137</v>
      </c>
      <c r="F68" s="11">
        <f t="shared" ca="1" si="4"/>
        <v>140</v>
      </c>
      <c r="G68" s="11">
        <f t="shared" ca="1" si="5"/>
        <v>1</v>
      </c>
      <c r="H68" s="11">
        <f t="shared" ca="1" si="6"/>
        <v>0.11793612253961228</v>
      </c>
      <c r="I68" s="11">
        <f t="shared" ca="1" si="7"/>
        <v>2</v>
      </c>
      <c r="J68" s="11">
        <f t="shared" ca="1" si="8"/>
        <v>138</v>
      </c>
      <c r="K68" s="11">
        <f t="shared" ca="1" si="9"/>
        <v>140</v>
      </c>
      <c r="L68" s="11">
        <f t="shared" ca="1" si="10"/>
        <v>0</v>
      </c>
      <c r="M68" s="11">
        <f t="shared" ca="1" si="11"/>
        <v>2</v>
      </c>
    </row>
    <row r="69" spans="1:13" x14ac:dyDescent="0.45">
      <c r="A69" s="11">
        <v>63</v>
      </c>
      <c r="B69" s="11">
        <f t="shared" ca="1" si="0"/>
        <v>0.94235280166006774</v>
      </c>
      <c r="C69" s="11">
        <f t="shared" ca="1" si="1"/>
        <v>4</v>
      </c>
      <c r="D69" s="11">
        <f t="shared" ca="1" si="2"/>
        <v>142</v>
      </c>
      <c r="E69" s="11">
        <f t="shared" ca="1" si="3"/>
        <v>140</v>
      </c>
      <c r="F69" s="11">
        <f t="shared" ca="1" si="4"/>
        <v>140</v>
      </c>
      <c r="G69" s="11">
        <f t="shared" ca="1" si="5"/>
        <v>1</v>
      </c>
      <c r="H69" s="11">
        <f t="shared" ca="1" si="6"/>
        <v>0.18464326748365212</v>
      </c>
      <c r="I69" s="11">
        <f t="shared" ca="1" si="7"/>
        <v>2</v>
      </c>
      <c r="J69" s="11">
        <f t="shared" ca="1" si="8"/>
        <v>142</v>
      </c>
      <c r="K69" s="11">
        <f t="shared" ca="1" si="9"/>
        <v>144</v>
      </c>
      <c r="L69" s="11">
        <f t="shared" ca="1" si="10"/>
        <v>0</v>
      </c>
      <c r="M69" s="11">
        <f t="shared" ca="1" si="11"/>
        <v>2</v>
      </c>
    </row>
    <row r="70" spans="1:13" x14ac:dyDescent="0.45">
      <c r="A70" s="11">
        <v>64</v>
      </c>
      <c r="B70" s="11">
        <f t="shared" ca="1" si="0"/>
        <v>0.23554099219535896</v>
      </c>
      <c r="C70" s="11">
        <f t="shared" ca="1" si="1"/>
        <v>1</v>
      </c>
      <c r="D70" s="11">
        <f t="shared" ca="1" si="2"/>
        <v>143</v>
      </c>
      <c r="E70" s="11">
        <f t="shared" ca="1" si="3"/>
        <v>144</v>
      </c>
      <c r="F70" s="11">
        <f t="shared" ca="1" si="4"/>
        <v>140</v>
      </c>
      <c r="G70" s="11">
        <f t="shared" ca="1" si="5"/>
        <v>2</v>
      </c>
      <c r="H70" s="11">
        <f t="shared" ca="1" si="6"/>
        <v>0.33677467317304477</v>
      </c>
      <c r="I70" s="11">
        <f t="shared" ca="1" si="7"/>
        <v>3</v>
      </c>
      <c r="J70" s="11">
        <f t="shared" ca="1" si="8"/>
        <v>143</v>
      </c>
      <c r="K70" s="11">
        <f t="shared" ca="1" si="9"/>
        <v>146</v>
      </c>
      <c r="L70" s="11">
        <f t="shared" ca="1" si="10"/>
        <v>0</v>
      </c>
      <c r="M70" s="11">
        <f t="shared" ca="1" si="11"/>
        <v>3</v>
      </c>
    </row>
    <row r="71" spans="1:13" x14ac:dyDescent="0.45">
      <c r="A71" s="11">
        <v>65</v>
      </c>
      <c r="B71" s="11">
        <f t="shared" ca="1" si="0"/>
        <v>0.35403553484246642</v>
      </c>
      <c r="C71" s="11">
        <f t="shared" ca="1" si="1"/>
        <v>2</v>
      </c>
      <c r="D71" s="11">
        <f t="shared" ca="1" si="2"/>
        <v>145</v>
      </c>
      <c r="E71" s="11">
        <f t="shared" ca="1" si="3"/>
        <v>144</v>
      </c>
      <c r="F71" s="11">
        <f t="shared" ca="1" si="4"/>
        <v>146</v>
      </c>
      <c r="G71" s="11">
        <f t="shared" ca="1" si="5"/>
        <v>1</v>
      </c>
      <c r="H71" s="11">
        <f t="shared" ca="1" si="6"/>
        <v>0.44545857131322986</v>
      </c>
      <c r="I71" s="11">
        <f t="shared" ca="1" si="7"/>
        <v>3</v>
      </c>
      <c r="J71" s="11">
        <f t="shared" ca="1" si="8"/>
        <v>145</v>
      </c>
      <c r="K71" s="11">
        <f t="shared" ca="1" si="9"/>
        <v>148</v>
      </c>
      <c r="L71" s="11">
        <f t="shared" ca="1" si="10"/>
        <v>0</v>
      </c>
      <c r="M71" s="11">
        <f t="shared" ca="1" si="11"/>
        <v>3</v>
      </c>
    </row>
    <row r="72" spans="1:13" x14ac:dyDescent="0.45">
      <c r="A72" s="11">
        <v>66</v>
      </c>
      <c r="B72" s="11">
        <f t="shared" ca="1" si="0"/>
        <v>0.38663431671083215</v>
      </c>
      <c r="C72" s="11">
        <f t="shared" ca="1" si="1"/>
        <v>2</v>
      </c>
      <c r="D72" s="11">
        <f t="shared" ca="1" si="2"/>
        <v>147</v>
      </c>
      <c r="E72" s="11">
        <f t="shared" ca="1" si="3"/>
        <v>148</v>
      </c>
      <c r="F72" s="11">
        <f t="shared" ca="1" si="4"/>
        <v>146</v>
      </c>
      <c r="G72" s="11">
        <f t="shared" ca="1" si="5"/>
        <v>2</v>
      </c>
      <c r="H72" s="11">
        <f t="shared" ca="1" si="6"/>
        <v>0.87180709734244255</v>
      </c>
      <c r="I72" s="11">
        <f t="shared" ca="1" si="7"/>
        <v>6</v>
      </c>
      <c r="J72" s="11">
        <f t="shared" ca="1" si="8"/>
        <v>147</v>
      </c>
      <c r="K72" s="11">
        <f t="shared" ca="1" si="9"/>
        <v>153</v>
      </c>
      <c r="L72" s="11">
        <f t="shared" ca="1" si="10"/>
        <v>0</v>
      </c>
      <c r="M72" s="11">
        <f t="shared" ca="1" si="11"/>
        <v>6</v>
      </c>
    </row>
    <row r="73" spans="1:13" x14ac:dyDescent="0.45">
      <c r="A73" s="11">
        <v>67</v>
      </c>
      <c r="B73" s="11">
        <f t="shared" ref="B73:B106" ca="1" si="12">RAND()</f>
        <v>0.70618231466461501</v>
      </c>
      <c r="C73" s="11">
        <f t="shared" ref="C73:C106" ca="1" si="13">LOOKUP(B73,$C$1:$C$4,$A$1:$A$4)</f>
        <v>3</v>
      </c>
      <c r="D73" s="11">
        <f t="shared" ref="D73:D106" ca="1" si="14">D72+C73</f>
        <v>150</v>
      </c>
      <c r="E73" s="11">
        <f t="shared" ref="E73:E106" ca="1" si="15">IF(G72=1, K72, E72)</f>
        <v>148</v>
      </c>
      <c r="F73" s="11">
        <f t="shared" ref="F73:F106" ca="1" si="16">IF(G72=2, K72, F72)</f>
        <v>153</v>
      </c>
      <c r="G73" s="11">
        <f t="shared" ref="G73:G106" ca="1" si="17">IF(E73&lt;=F73, 1, 2)</f>
        <v>1</v>
      </c>
      <c r="H73" s="11">
        <f t="shared" ref="H73:H106" ca="1" si="18">RAND()</f>
        <v>0.89186330211327891</v>
      </c>
      <c r="I73" s="11">
        <f t="shared" ref="I73:I106" ca="1" si="19">IF(G73=1, LOOKUP(H73,$G$1:$G$4,$E$1:$E$4), LOOKUP(H73, $K$1:$K$4,$I$1:$I$4))</f>
        <v>5</v>
      </c>
      <c r="J73" s="11">
        <f t="shared" ref="J73:J106" ca="1" si="20">MAX(D73, MIN(E73,F73))</f>
        <v>150</v>
      </c>
      <c r="K73" s="11">
        <f t="shared" ref="K73:K106" ca="1" si="21">J73+I73</f>
        <v>155</v>
      </c>
      <c r="L73" s="11">
        <f t="shared" ref="L73:L106" ca="1" si="22">J73-D73</f>
        <v>0</v>
      </c>
      <c r="M73" s="11">
        <f t="shared" ref="M73:M106" ca="1" si="23">K73-D73</f>
        <v>5</v>
      </c>
    </row>
    <row r="74" spans="1:13" x14ac:dyDescent="0.45">
      <c r="A74" s="11">
        <v>68</v>
      </c>
      <c r="B74" s="11">
        <f t="shared" ca="1" si="12"/>
        <v>0.43455320748404036</v>
      </c>
      <c r="C74" s="11">
        <f t="shared" ca="1" si="13"/>
        <v>2</v>
      </c>
      <c r="D74" s="11">
        <f t="shared" ca="1" si="14"/>
        <v>152</v>
      </c>
      <c r="E74" s="11">
        <f t="shared" ca="1" si="15"/>
        <v>155</v>
      </c>
      <c r="F74" s="11">
        <f t="shared" ca="1" si="16"/>
        <v>153</v>
      </c>
      <c r="G74" s="11">
        <f t="shared" ca="1" si="17"/>
        <v>2</v>
      </c>
      <c r="H74" s="11">
        <f t="shared" ca="1" si="18"/>
        <v>0.13836743049049294</v>
      </c>
      <c r="I74" s="11">
        <f t="shared" ca="1" si="19"/>
        <v>3</v>
      </c>
      <c r="J74" s="11">
        <f t="shared" ca="1" si="20"/>
        <v>153</v>
      </c>
      <c r="K74" s="11">
        <f t="shared" ca="1" si="21"/>
        <v>156</v>
      </c>
      <c r="L74" s="11">
        <f t="shared" ca="1" si="22"/>
        <v>1</v>
      </c>
      <c r="M74" s="11">
        <f t="shared" ca="1" si="23"/>
        <v>4</v>
      </c>
    </row>
    <row r="75" spans="1:13" x14ac:dyDescent="0.45">
      <c r="A75" s="11">
        <v>69</v>
      </c>
      <c r="B75" s="11">
        <f t="shared" ca="1" si="12"/>
        <v>0.76311153087862904</v>
      </c>
      <c r="C75" s="11">
        <f t="shared" ca="1" si="13"/>
        <v>3</v>
      </c>
      <c r="D75" s="11">
        <f t="shared" ca="1" si="14"/>
        <v>155</v>
      </c>
      <c r="E75" s="11">
        <f t="shared" ca="1" si="15"/>
        <v>155</v>
      </c>
      <c r="F75" s="11">
        <f t="shared" ca="1" si="16"/>
        <v>156</v>
      </c>
      <c r="G75" s="11">
        <f t="shared" ca="1" si="17"/>
        <v>1</v>
      </c>
      <c r="H75" s="11">
        <f t="shared" ca="1" si="18"/>
        <v>0.14898838972681738</v>
      </c>
      <c r="I75" s="11">
        <f t="shared" ca="1" si="19"/>
        <v>2</v>
      </c>
      <c r="J75" s="11">
        <f t="shared" ca="1" si="20"/>
        <v>155</v>
      </c>
      <c r="K75" s="11">
        <f t="shared" ca="1" si="21"/>
        <v>157</v>
      </c>
      <c r="L75" s="11">
        <f t="shared" ca="1" si="22"/>
        <v>0</v>
      </c>
      <c r="M75" s="11">
        <f t="shared" ca="1" si="23"/>
        <v>2</v>
      </c>
    </row>
    <row r="76" spans="1:13" x14ac:dyDescent="0.45">
      <c r="A76" s="11">
        <v>70</v>
      </c>
      <c r="B76" s="11">
        <f t="shared" ca="1" si="12"/>
        <v>0.16914097759582081</v>
      </c>
      <c r="C76" s="11">
        <f t="shared" ca="1" si="13"/>
        <v>1</v>
      </c>
      <c r="D76" s="11">
        <f t="shared" ca="1" si="14"/>
        <v>156</v>
      </c>
      <c r="E76" s="11">
        <f t="shared" ca="1" si="15"/>
        <v>157</v>
      </c>
      <c r="F76" s="11">
        <f t="shared" ca="1" si="16"/>
        <v>156</v>
      </c>
      <c r="G76" s="11">
        <f t="shared" ca="1" si="17"/>
        <v>2</v>
      </c>
      <c r="H76" s="11">
        <f t="shared" ca="1" si="18"/>
        <v>0.68939780159147779</v>
      </c>
      <c r="I76" s="11">
        <f t="shared" ca="1" si="19"/>
        <v>5</v>
      </c>
      <c r="J76" s="11">
        <f t="shared" ca="1" si="20"/>
        <v>156</v>
      </c>
      <c r="K76" s="11">
        <f t="shared" ca="1" si="21"/>
        <v>161</v>
      </c>
      <c r="L76" s="11">
        <f t="shared" ca="1" si="22"/>
        <v>0</v>
      </c>
      <c r="M76" s="11">
        <f t="shared" ca="1" si="23"/>
        <v>5</v>
      </c>
    </row>
    <row r="77" spans="1:13" x14ac:dyDescent="0.45">
      <c r="A77" s="11">
        <v>71</v>
      </c>
      <c r="B77" s="11">
        <f t="shared" ca="1" si="12"/>
        <v>0.6683144298010919</v>
      </c>
      <c r="C77" s="11">
        <f t="shared" ca="1" si="13"/>
        <v>3</v>
      </c>
      <c r="D77" s="11">
        <f t="shared" ca="1" si="14"/>
        <v>159</v>
      </c>
      <c r="E77" s="11">
        <f t="shared" ca="1" si="15"/>
        <v>157</v>
      </c>
      <c r="F77" s="11">
        <f t="shared" ca="1" si="16"/>
        <v>161</v>
      </c>
      <c r="G77" s="11">
        <f t="shared" ca="1" si="17"/>
        <v>1</v>
      </c>
      <c r="H77" s="11">
        <f t="shared" ca="1" si="18"/>
        <v>8.4796762046443042E-2</v>
      </c>
      <c r="I77" s="11">
        <f t="shared" ca="1" si="19"/>
        <v>2</v>
      </c>
      <c r="J77" s="11">
        <f t="shared" ca="1" si="20"/>
        <v>159</v>
      </c>
      <c r="K77" s="11">
        <f t="shared" ca="1" si="21"/>
        <v>161</v>
      </c>
      <c r="L77" s="11">
        <f t="shared" ca="1" si="22"/>
        <v>0</v>
      </c>
      <c r="M77" s="11">
        <f t="shared" ca="1" si="23"/>
        <v>2</v>
      </c>
    </row>
    <row r="78" spans="1:13" x14ac:dyDescent="0.45">
      <c r="A78" s="11">
        <v>72</v>
      </c>
      <c r="B78" s="11">
        <f t="shared" ca="1" si="12"/>
        <v>0.47970166909161138</v>
      </c>
      <c r="C78" s="11">
        <f t="shared" ca="1" si="13"/>
        <v>2</v>
      </c>
      <c r="D78" s="11">
        <f t="shared" ca="1" si="14"/>
        <v>161</v>
      </c>
      <c r="E78" s="11">
        <f t="shared" ca="1" si="15"/>
        <v>161</v>
      </c>
      <c r="F78" s="11">
        <f t="shared" ca="1" si="16"/>
        <v>161</v>
      </c>
      <c r="G78" s="11">
        <f t="shared" ca="1" si="17"/>
        <v>1</v>
      </c>
      <c r="H78" s="11">
        <f t="shared" ca="1" si="18"/>
        <v>0.37259273517484459</v>
      </c>
      <c r="I78" s="11">
        <f t="shared" ca="1" si="19"/>
        <v>3</v>
      </c>
      <c r="J78" s="11">
        <f t="shared" ca="1" si="20"/>
        <v>161</v>
      </c>
      <c r="K78" s="11">
        <f t="shared" ca="1" si="21"/>
        <v>164</v>
      </c>
      <c r="L78" s="11">
        <f t="shared" ca="1" si="22"/>
        <v>0</v>
      </c>
      <c r="M78" s="11">
        <f t="shared" ca="1" si="23"/>
        <v>3</v>
      </c>
    </row>
    <row r="79" spans="1:13" x14ac:dyDescent="0.45">
      <c r="A79" s="11">
        <v>73</v>
      </c>
      <c r="B79" s="11">
        <f t="shared" ca="1" si="12"/>
        <v>0.10165327230655041</v>
      </c>
      <c r="C79" s="11">
        <f t="shared" ca="1" si="13"/>
        <v>1</v>
      </c>
      <c r="D79" s="11">
        <f t="shared" ca="1" si="14"/>
        <v>162</v>
      </c>
      <c r="E79" s="11">
        <f t="shared" ca="1" si="15"/>
        <v>164</v>
      </c>
      <c r="F79" s="11">
        <f t="shared" ca="1" si="16"/>
        <v>161</v>
      </c>
      <c r="G79" s="11">
        <f t="shared" ca="1" si="17"/>
        <v>2</v>
      </c>
      <c r="H79" s="11">
        <f t="shared" ca="1" si="18"/>
        <v>0.33164599190682587</v>
      </c>
      <c r="I79" s="11">
        <f t="shared" ca="1" si="19"/>
        <v>3</v>
      </c>
      <c r="J79" s="11">
        <f t="shared" ca="1" si="20"/>
        <v>162</v>
      </c>
      <c r="K79" s="11">
        <f t="shared" ca="1" si="21"/>
        <v>165</v>
      </c>
      <c r="L79" s="11">
        <f t="shared" ca="1" si="22"/>
        <v>0</v>
      </c>
      <c r="M79" s="11">
        <f t="shared" ca="1" si="23"/>
        <v>3</v>
      </c>
    </row>
    <row r="80" spans="1:13" x14ac:dyDescent="0.45">
      <c r="A80" s="11">
        <v>74</v>
      </c>
      <c r="B80" s="11">
        <f t="shared" ca="1" si="12"/>
        <v>0.22568857917626572</v>
      </c>
      <c r="C80" s="11">
        <f t="shared" ca="1" si="13"/>
        <v>1</v>
      </c>
      <c r="D80" s="11">
        <f t="shared" ca="1" si="14"/>
        <v>163</v>
      </c>
      <c r="E80" s="11">
        <f t="shared" ca="1" si="15"/>
        <v>164</v>
      </c>
      <c r="F80" s="11">
        <f t="shared" ca="1" si="16"/>
        <v>165</v>
      </c>
      <c r="G80" s="11">
        <f t="shared" ca="1" si="17"/>
        <v>1</v>
      </c>
      <c r="H80" s="11">
        <f t="shared" ca="1" si="18"/>
        <v>0.15234884237245228</v>
      </c>
      <c r="I80" s="11">
        <f t="shared" ca="1" si="19"/>
        <v>2</v>
      </c>
      <c r="J80" s="11">
        <f t="shared" ca="1" si="20"/>
        <v>164</v>
      </c>
      <c r="K80" s="11">
        <f t="shared" ca="1" si="21"/>
        <v>166</v>
      </c>
      <c r="L80" s="11">
        <f t="shared" ca="1" si="22"/>
        <v>1</v>
      </c>
      <c r="M80" s="11">
        <f t="shared" ca="1" si="23"/>
        <v>3</v>
      </c>
    </row>
    <row r="81" spans="1:13" x14ac:dyDescent="0.45">
      <c r="A81" s="11">
        <v>75</v>
      </c>
      <c r="B81" s="11">
        <f t="shared" ca="1" si="12"/>
        <v>0.2634981701139566</v>
      </c>
      <c r="C81" s="11">
        <f t="shared" ca="1" si="13"/>
        <v>2</v>
      </c>
      <c r="D81" s="11">
        <f t="shared" ca="1" si="14"/>
        <v>165</v>
      </c>
      <c r="E81" s="11">
        <f t="shared" ca="1" si="15"/>
        <v>166</v>
      </c>
      <c r="F81" s="11">
        <f t="shared" ca="1" si="16"/>
        <v>165</v>
      </c>
      <c r="G81" s="11">
        <f t="shared" ca="1" si="17"/>
        <v>2</v>
      </c>
      <c r="H81" s="11">
        <f t="shared" ca="1" si="18"/>
        <v>0.75628099626216083</v>
      </c>
      <c r="I81" s="11">
        <f t="shared" ca="1" si="19"/>
        <v>5</v>
      </c>
      <c r="J81" s="11">
        <f t="shared" ca="1" si="20"/>
        <v>165</v>
      </c>
      <c r="K81" s="11">
        <f t="shared" ca="1" si="21"/>
        <v>170</v>
      </c>
      <c r="L81" s="11">
        <f t="shared" ca="1" si="22"/>
        <v>0</v>
      </c>
      <c r="M81" s="11">
        <f t="shared" ca="1" si="23"/>
        <v>5</v>
      </c>
    </row>
    <row r="82" spans="1:13" x14ac:dyDescent="0.45">
      <c r="A82" s="11">
        <v>76</v>
      </c>
      <c r="B82" s="11">
        <f t="shared" ca="1" si="12"/>
        <v>0.84799034080249558</v>
      </c>
      <c r="C82" s="11">
        <f t="shared" ca="1" si="13"/>
        <v>3</v>
      </c>
      <c r="D82" s="11">
        <f t="shared" ca="1" si="14"/>
        <v>168</v>
      </c>
      <c r="E82" s="11">
        <f t="shared" ca="1" si="15"/>
        <v>166</v>
      </c>
      <c r="F82" s="11">
        <f t="shared" ca="1" si="16"/>
        <v>170</v>
      </c>
      <c r="G82" s="11">
        <f t="shared" ca="1" si="17"/>
        <v>1</v>
      </c>
      <c r="H82" s="11">
        <f t="shared" ca="1" si="18"/>
        <v>0.66300341430306486</v>
      </c>
      <c r="I82" s="11">
        <f t="shared" ca="1" si="19"/>
        <v>4</v>
      </c>
      <c r="J82" s="11">
        <f t="shared" ca="1" si="20"/>
        <v>168</v>
      </c>
      <c r="K82" s="11">
        <f t="shared" ca="1" si="21"/>
        <v>172</v>
      </c>
      <c r="L82" s="11">
        <f t="shared" ca="1" si="22"/>
        <v>0</v>
      </c>
      <c r="M82" s="11">
        <f t="shared" ca="1" si="23"/>
        <v>4</v>
      </c>
    </row>
    <row r="83" spans="1:13" x14ac:dyDescent="0.45">
      <c r="A83" s="11">
        <v>77</v>
      </c>
      <c r="B83" s="11">
        <f t="shared" ca="1" si="12"/>
        <v>0.34997979088625097</v>
      </c>
      <c r="C83" s="11">
        <f t="shared" ca="1" si="13"/>
        <v>2</v>
      </c>
      <c r="D83" s="11">
        <f t="shared" ca="1" si="14"/>
        <v>170</v>
      </c>
      <c r="E83" s="11">
        <f t="shared" ca="1" si="15"/>
        <v>172</v>
      </c>
      <c r="F83" s="11">
        <f t="shared" ca="1" si="16"/>
        <v>170</v>
      </c>
      <c r="G83" s="11">
        <f t="shared" ca="1" si="17"/>
        <v>2</v>
      </c>
      <c r="H83" s="11">
        <f t="shared" ca="1" si="18"/>
        <v>0.59975665611226558</v>
      </c>
      <c r="I83" s="11">
        <f t="shared" ca="1" si="19"/>
        <v>4</v>
      </c>
      <c r="J83" s="11">
        <f t="shared" ca="1" si="20"/>
        <v>170</v>
      </c>
      <c r="K83" s="11">
        <f t="shared" ca="1" si="21"/>
        <v>174</v>
      </c>
      <c r="L83" s="11">
        <f t="shared" ca="1" si="22"/>
        <v>0</v>
      </c>
      <c r="M83" s="11">
        <f t="shared" ca="1" si="23"/>
        <v>4</v>
      </c>
    </row>
    <row r="84" spans="1:13" x14ac:dyDescent="0.45">
      <c r="A84" s="11">
        <v>78</v>
      </c>
      <c r="B84" s="11">
        <f t="shared" ca="1" si="12"/>
        <v>0.61243085921002482</v>
      </c>
      <c r="C84" s="11">
        <f t="shared" ca="1" si="13"/>
        <v>2</v>
      </c>
      <c r="D84" s="11">
        <f t="shared" ca="1" si="14"/>
        <v>172</v>
      </c>
      <c r="E84" s="11">
        <f t="shared" ca="1" si="15"/>
        <v>172</v>
      </c>
      <c r="F84" s="11">
        <f t="shared" ca="1" si="16"/>
        <v>174</v>
      </c>
      <c r="G84" s="11">
        <f t="shared" ca="1" si="17"/>
        <v>1</v>
      </c>
      <c r="H84" s="11">
        <f t="shared" ca="1" si="18"/>
        <v>0.30644222084245587</v>
      </c>
      <c r="I84" s="11">
        <f t="shared" ca="1" si="19"/>
        <v>3</v>
      </c>
      <c r="J84" s="11">
        <f t="shared" ca="1" si="20"/>
        <v>172</v>
      </c>
      <c r="K84" s="11">
        <f t="shared" ca="1" si="21"/>
        <v>175</v>
      </c>
      <c r="L84" s="11">
        <f t="shared" ca="1" si="22"/>
        <v>0</v>
      </c>
      <c r="M84" s="11">
        <f t="shared" ca="1" si="23"/>
        <v>3</v>
      </c>
    </row>
    <row r="85" spans="1:13" x14ac:dyDescent="0.45">
      <c r="A85" s="11">
        <v>79</v>
      </c>
      <c r="B85" s="11">
        <f t="shared" ca="1" si="12"/>
        <v>0.70932409673771812</v>
      </c>
      <c r="C85" s="11">
        <f t="shared" ca="1" si="13"/>
        <v>3</v>
      </c>
      <c r="D85" s="11">
        <f t="shared" ca="1" si="14"/>
        <v>175</v>
      </c>
      <c r="E85" s="11">
        <f t="shared" ca="1" si="15"/>
        <v>175</v>
      </c>
      <c r="F85" s="11">
        <f t="shared" ca="1" si="16"/>
        <v>174</v>
      </c>
      <c r="G85" s="11">
        <f t="shared" ca="1" si="17"/>
        <v>2</v>
      </c>
      <c r="H85" s="11">
        <f t="shared" ca="1" si="18"/>
        <v>0.84067300776667209</v>
      </c>
      <c r="I85" s="11">
        <f t="shared" ca="1" si="19"/>
        <v>6</v>
      </c>
      <c r="J85" s="11">
        <f t="shared" ca="1" si="20"/>
        <v>175</v>
      </c>
      <c r="K85" s="11">
        <f t="shared" ca="1" si="21"/>
        <v>181</v>
      </c>
      <c r="L85" s="11">
        <f t="shared" ca="1" si="22"/>
        <v>0</v>
      </c>
      <c r="M85" s="11">
        <f t="shared" ca="1" si="23"/>
        <v>6</v>
      </c>
    </row>
    <row r="86" spans="1:13" x14ac:dyDescent="0.45">
      <c r="A86" s="11">
        <v>80</v>
      </c>
      <c r="B86" s="11">
        <f t="shared" ca="1" si="12"/>
        <v>0.29462371006241039</v>
      </c>
      <c r="C86" s="11">
        <f t="shared" ca="1" si="13"/>
        <v>2</v>
      </c>
      <c r="D86" s="11">
        <f t="shared" ca="1" si="14"/>
        <v>177</v>
      </c>
      <c r="E86" s="11">
        <f t="shared" ca="1" si="15"/>
        <v>175</v>
      </c>
      <c r="F86" s="11">
        <f t="shared" ca="1" si="16"/>
        <v>181</v>
      </c>
      <c r="G86" s="11">
        <f t="shared" ca="1" si="17"/>
        <v>1</v>
      </c>
      <c r="H86" s="11">
        <f t="shared" ca="1" si="18"/>
        <v>0.84448318583923676</v>
      </c>
      <c r="I86" s="11">
        <f t="shared" ca="1" si="19"/>
        <v>5</v>
      </c>
      <c r="J86" s="11">
        <f t="shared" ca="1" si="20"/>
        <v>177</v>
      </c>
      <c r="K86" s="11">
        <f t="shared" ca="1" si="21"/>
        <v>182</v>
      </c>
      <c r="L86" s="11">
        <f t="shared" ca="1" si="22"/>
        <v>0</v>
      </c>
      <c r="M86" s="11">
        <f t="shared" ca="1" si="23"/>
        <v>5</v>
      </c>
    </row>
    <row r="87" spans="1:13" x14ac:dyDescent="0.45">
      <c r="A87" s="11">
        <v>81</v>
      </c>
      <c r="B87" s="11">
        <f t="shared" ca="1" si="12"/>
        <v>0.6092760357678908</v>
      </c>
      <c r="C87" s="11">
        <f t="shared" ca="1" si="13"/>
        <v>2</v>
      </c>
      <c r="D87" s="11">
        <f t="shared" ca="1" si="14"/>
        <v>179</v>
      </c>
      <c r="E87" s="11">
        <f t="shared" ca="1" si="15"/>
        <v>182</v>
      </c>
      <c r="F87" s="11">
        <f t="shared" ca="1" si="16"/>
        <v>181</v>
      </c>
      <c r="G87" s="11">
        <f t="shared" ca="1" si="17"/>
        <v>2</v>
      </c>
      <c r="H87" s="11">
        <f t="shared" ca="1" si="18"/>
        <v>0.96084356788291181</v>
      </c>
      <c r="I87" s="11">
        <f t="shared" ca="1" si="19"/>
        <v>6</v>
      </c>
      <c r="J87" s="11">
        <f t="shared" ca="1" si="20"/>
        <v>181</v>
      </c>
      <c r="K87" s="11">
        <f t="shared" ca="1" si="21"/>
        <v>187</v>
      </c>
      <c r="L87" s="11">
        <f t="shared" ca="1" si="22"/>
        <v>2</v>
      </c>
      <c r="M87" s="11">
        <f t="shared" ca="1" si="23"/>
        <v>8</v>
      </c>
    </row>
    <row r="88" spans="1:13" x14ac:dyDescent="0.45">
      <c r="A88" s="11">
        <v>82</v>
      </c>
      <c r="B88" s="11">
        <f t="shared" ca="1" si="12"/>
        <v>0.28068679364235094</v>
      </c>
      <c r="C88" s="11">
        <f t="shared" ca="1" si="13"/>
        <v>2</v>
      </c>
      <c r="D88" s="11">
        <f t="shared" ca="1" si="14"/>
        <v>181</v>
      </c>
      <c r="E88" s="11">
        <f t="shared" ca="1" si="15"/>
        <v>182</v>
      </c>
      <c r="F88" s="11">
        <f t="shared" ca="1" si="16"/>
        <v>187</v>
      </c>
      <c r="G88" s="11">
        <f t="shared" ca="1" si="17"/>
        <v>1</v>
      </c>
      <c r="H88" s="11">
        <f t="shared" ca="1" si="18"/>
        <v>0.99331536851143143</v>
      </c>
      <c r="I88" s="11">
        <f t="shared" ca="1" si="19"/>
        <v>5</v>
      </c>
      <c r="J88" s="11">
        <f t="shared" ca="1" si="20"/>
        <v>182</v>
      </c>
      <c r="K88" s="11">
        <f t="shared" ca="1" si="21"/>
        <v>187</v>
      </c>
      <c r="L88" s="11">
        <f t="shared" ca="1" si="22"/>
        <v>1</v>
      </c>
      <c r="M88" s="11">
        <f t="shared" ca="1" si="23"/>
        <v>6</v>
      </c>
    </row>
    <row r="89" spans="1:13" x14ac:dyDescent="0.45">
      <c r="A89" s="11">
        <v>83</v>
      </c>
      <c r="B89" s="11">
        <f t="shared" ca="1" si="12"/>
        <v>0.68135780258647749</v>
      </c>
      <c r="C89" s="11">
        <f t="shared" ca="1" si="13"/>
        <v>3</v>
      </c>
      <c r="D89" s="11">
        <f t="shared" ca="1" si="14"/>
        <v>184</v>
      </c>
      <c r="E89" s="11">
        <f t="shared" ca="1" si="15"/>
        <v>187</v>
      </c>
      <c r="F89" s="11">
        <f t="shared" ca="1" si="16"/>
        <v>187</v>
      </c>
      <c r="G89" s="11">
        <f t="shared" ca="1" si="17"/>
        <v>1</v>
      </c>
      <c r="H89" s="11">
        <f t="shared" ca="1" si="18"/>
        <v>0.11672125914083864</v>
      </c>
      <c r="I89" s="11">
        <f t="shared" ca="1" si="19"/>
        <v>2</v>
      </c>
      <c r="J89" s="11">
        <f t="shared" ca="1" si="20"/>
        <v>187</v>
      </c>
      <c r="K89" s="11">
        <f t="shared" ca="1" si="21"/>
        <v>189</v>
      </c>
      <c r="L89" s="11">
        <f t="shared" ca="1" si="22"/>
        <v>3</v>
      </c>
      <c r="M89" s="11">
        <f t="shared" ca="1" si="23"/>
        <v>5</v>
      </c>
    </row>
    <row r="90" spans="1:13" x14ac:dyDescent="0.45">
      <c r="A90" s="11">
        <v>84</v>
      </c>
      <c r="B90" s="11">
        <f t="shared" ca="1" si="12"/>
        <v>0.5327154486125133</v>
      </c>
      <c r="C90" s="11">
        <f t="shared" ca="1" si="13"/>
        <v>2</v>
      </c>
      <c r="D90" s="11">
        <f t="shared" ca="1" si="14"/>
        <v>186</v>
      </c>
      <c r="E90" s="11">
        <f t="shared" ca="1" si="15"/>
        <v>189</v>
      </c>
      <c r="F90" s="11">
        <f t="shared" ca="1" si="16"/>
        <v>187</v>
      </c>
      <c r="G90" s="11">
        <f t="shared" ca="1" si="17"/>
        <v>2</v>
      </c>
      <c r="H90" s="11">
        <f t="shared" ca="1" si="18"/>
        <v>0.2346439799834793</v>
      </c>
      <c r="I90" s="11">
        <f t="shared" ca="1" si="19"/>
        <v>3</v>
      </c>
      <c r="J90" s="11">
        <f t="shared" ca="1" si="20"/>
        <v>187</v>
      </c>
      <c r="K90" s="11">
        <f t="shared" ca="1" si="21"/>
        <v>190</v>
      </c>
      <c r="L90" s="11">
        <f t="shared" ca="1" si="22"/>
        <v>1</v>
      </c>
      <c r="M90" s="11">
        <f t="shared" ca="1" si="23"/>
        <v>4</v>
      </c>
    </row>
    <row r="91" spans="1:13" x14ac:dyDescent="0.45">
      <c r="A91" s="11">
        <v>85</v>
      </c>
      <c r="B91" s="11">
        <f t="shared" ca="1" si="12"/>
        <v>0.57004051175646298</v>
      </c>
      <c r="C91" s="11">
        <f t="shared" ca="1" si="13"/>
        <v>2</v>
      </c>
      <c r="D91" s="11">
        <f t="shared" ca="1" si="14"/>
        <v>188</v>
      </c>
      <c r="E91" s="11">
        <f t="shared" ca="1" si="15"/>
        <v>189</v>
      </c>
      <c r="F91" s="11">
        <f t="shared" ca="1" si="16"/>
        <v>190</v>
      </c>
      <c r="G91" s="11">
        <f t="shared" ca="1" si="17"/>
        <v>1</v>
      </c>
      <c r="H91" s="11">
        <f t="shared" ca="1" si="18"/>
        <v>0.39434911692386754</v>
      </c>
      <c r="I91" s="11">
        <f t="shared" ca="1" si="19"/>
        <v>3</v>
      </c>
      <c r="J91" s="11">
        <f t="shared" ca="1" si="20"/>
        <v>189</v>
      </c>
      <c r="K91" s="11">
        <f t="shared" ca="1" si="21"/>
        <v>192</v>
      </c>
      <c r="L91" s="11">
        <f t="shared" ca="1" si="22"/>
        <v>1</v>
      </c>
      <c r="M91" s="11">
        <f t="shared" ca="1" si="23"/>
        <v>4</v>
      </c>
    </row>
    <row r="92" spans="1:13" x14ac:dyDescent="0.45">
      <c r="A92" s="11">
        <v>86</v>
      </c>
      <c r="B92" s="11">
        <f t="shared" ca="1" si="12"/>
        <v>2.6141285175926399E-2</v>
      </c>
      <c r="C92" s="11">
        <f t="shared" ca="1" si="13"/>
        <v>1</v>
      </c>
      <c r="D92" s="11">
        <f t="shared" ca="1" si="14"/>
        <v>189</v>
      </c>
      <c r="E92" s="11">
        <f t="shared" ca="1" si="15"/>
        <v>192</v>
      </c>
      <c r="F92" s="11">
        <f t="shared" ca="1" si="16"/>
        <v>190</v>
      </c>
      <c r="G92" s="11">
        <f t="shared" ca="1" si="17"/>
        <v>2</v>
      </c>
      <c r="H92" s="11">
        <f t="shared" ca="1" si="18"/>
        <v>0.53712402984922747</v>
      </c>
      <c r="I92" s="11">
        <f t="shared" ca="1" si="19"/>
        <v>4</v>
      </c>
      <c r="J92" s="11">
        <f t="shared" ca="1" si="20"/>
        <v>190</v>
      </c>
      <c r="K92" s="11">
        <f t="shared" ca="1" si="21"/>
        <v>194</v>
      </c>
      <c r="L92" s="11">
        <f t="shared" ca="1" si="22"/>
        <v>1</v>
      </c>
      <c r="M92" s="11">
        <f t="shared" ca="1" si="23"/>
        <v>5</v>
      </c>
    </row>
    <row r="93" spans="1:13" x14ac:dyDescent="0.45">
      <c r="A93" s="11">
        <v>87</v>
      </c>
      <c r="B93" s="11">
        <f t="shared" ca="1" si="12"/>
        <v>0.90709753474730415</v>
      </c>
      <c r="C93" s="11">
        <f t="shared" ca="1" si="13"/>
        <v>4</v>
      </c>
      <c r="D93" s="11">
        <f t="shared" ca="1" si="14"/>
        <v>193</v>
      </c>
      <c r="E93" s="11">
        <f t="shared" ca="1" si="15"/>
        <v>192</v>
      </c>
      <c r="F93" s="11">
        <f t="shared" ca="1" si="16"/>
        <v>194</v>
      </c>
      <c r="G93" s="11">
        <f t="shared" ca="1" si="17"/>
        <v>1</v>
      </c>
      <c r="H93" s="11">
        <f t="shared" ca="1" si="18"/>
        <v>0.79031213928365229</v>
      </c>
      <c r="I93" s="11">
        <f t="shared" ca="1" si="19"/>
        <v>4</v>
      </c>
      <c r="J93" s="11">
        <f t="shared" ca="1" si="20"/>
        <v>193</v>
      </c>
      <c r="K93" s="11">
        <f t="shared" ca="1" si="21"/>
        <v>197</v>
      </c>
      <c r="L93" s="11">
        <f t="shared" ca="1" si="22"/>
        <v>0</v>
      </c>
      <c r="M93" s="11">
        <f t="shared" ca="1" si="23"/>
        <v>4</v>
      </c>
    </row>
    <row r="94" spans="1:13" x14ac:dyDescent="0.45">
      <c r="A94" s="11">
        <v>88</v>
      </c>
      <c r="B94" s="11">
        <f t="shared" ca="1" si="12"/>
        <v>0.74798230427302748</v>
      </c>
      <c r="C94" s="11">
        <f t="shared" ca="1" si="13"/>
        <v>3</v>
      </c>
      <c r="D94" s="11">
        <f t="shared" ca="1" si="14"/>
        <v>196</v>
      </c>
      <c r="E94" s="11">
        <f t="shared" ca="1" si="15"/>
        <v>197</v>
      </c>
      <c r="F94" s="11">
        <f t="shared" ca="1" si="16"/>
        <v>194</v>
      </c>
      <c r="G94" s="11">
        <f t="shared" ca="1" si="17"/>
        <v>2</v>
      </c>
      <c r="H94" s="11">
        <f t="shared" ca="1" si="18"/>
        <v>0.21859632022889408</v>
      </c>
      <c r="I94" s="11">
        <f t="shared" ca="1" si="19"/>
        <v>3</v>
      </c>
      <c r="J94" s="11">
        <f t="shared" ca="1" si="20"/>
        <v>196</v>
      </c>
      <c r="K94" s="11">
        <f t="shared" ca="1" si="21"/>
        <v>199</v>
      </c>
      <c r="L94" s="11">
        <f t="shared" ca="1" si="22"/>
        <v>0</v>
      </c>
      <c r="M94" s="11">
        <f t="shared" ca="1" si="23"/>
        <v>3</v>
      </c>
    </row>
    <row r="95" spans="1:13" x14ac:dyDescent="0.45">
      <c r="A95" s="11">
        <v>89</v>
      </c>
      <c r="B95" s="11">
        <f t="shared" ca="1" si="12"/>
        <v>0.14131776200448076</v>
      </c>
      <c r="C95" s="11">
        <f t="shared" ca="1" si="13"/>
        <v>1</v>
      </c>
      <c r="D95" s="11">
        <f t="shared" ca="1" si="14"/>
        <v>197</v>
      </c>
      <c r="E95" s="11">
        <f t="shared" ca="1" si="15"/>
        <v>197</v>
      </c>
      <c r="F95" s="11">
        <f t="shared" ca="1" si="16"/>
        <v>199</v>
      </c>
      <c r="G95" s="11">
        <f t="shared" ca="1" si="17"/>
        <v>1</v>
      </c>
      <c r="H95" s="11">
        <f t="shared" ca="1" si="18"/>
        <v>0.2130936805996031</v>
      </c>
      <c r="I95" s="11">
        <f t="shared" ca="1" si="19"/>
        <v>2</v>
      </c>
      <c r="J95" s="11">
        <f t="shared" ca="1" si="20"/>
        <v>197</v>
      </c>
      <c r="K95" s="11">
        <f t="shared" ca="1" si="21"/>
        <v>199</v>
      </c>
      <c r="L95" s="11">
        <f t="shared" ca="1" si="22"/>
        <v>0</v>
      </c>
      <c r="M95" s="11">
        <f t="shared" ca="1" si="23"/>
        <v>2</v>
      </c>
    </row>
    <row r="96" spans="1:13" x14ac:dyDescent="0.45">
      <c r="A96" s="11">
        <v>90</v>
      </c>
      <c r="B96" s="11">
        <f t="shared" ca="1" si="12"/>
        <v>0.318089855461965</v>
      </c>
      <c r="C96" s="11">
        <f t="shared" ca="1" si="13"/>
        <v>2</v>
      </c>
      <c r="D96" s="11">
        <f t="shared" ca="1" si="14"/>
        <v>199</v>
      </c>
      <c r="E96" s="11">
        <f t="shared" ca="1" si="15"/>
        <v>199</v>
      </c>
      <c r="F96" s="11">
        <f t="shared" ca="1" si="16"/>
        <v>199</v>
      </c>
      <c r="G96" s="11">
        <f t="shared" ca="1" si="17"/>
        <v>1</v>
      </c>
      <c r="H96" s="11">
        <f t="shared" ca="1" si="18"/>
        <v>0.14364120679226255</v>
      </c>
      <c r="I96" s="11">
        <f t="shared" ca="1" si="19"/>
        <v>2</v>
      </c>
      <c r="J96" s="11">
        <f t="shared" ca="1" si="20"/>
        <v>199</v>
      </c>
      <c r="K96" s="11">
        <f t="shared" ca="1" si="21"/>
        <v>201</v>
      </c>
      <c r="L96" s="11">
        <f t="shared" ca="1" si="22"/>
        <v>0</v>
      </c>
      <c r="M96" s="11">
        <f t="shared" ca="1" si="23"/>
        <v>2</v>
      </c>
    </row>
    <row r="97" spans="1:13" x14ac:dyDescent="0.45">
      <c r="A97" s="11">
        <v>91</v>
      </c>
      <c r="B97" s="11">
        <f t="shared" ca="1" si="12"/>
        <v>0.25819364529400191</v>
      </c>
      <c r="C97" s="11">
        <f t="shared" ca="1" si="13"/>
        <v>2</v>
      </c>
      <c r="D97" s="11">
        <f t="shared" ca="1" si="14"/>
        <v>201</v>
      </c>
      <c r="E97" s="11">
        <f t="shared" ca="1" si="15"/>
        <v>201</v>
      </c>
      <c r="F97" s="11">
        <f t="shared" ca="1" si="16"/>
        <v>199</v>
      </c>
      <c r="G97" s="11">
        <f t="shared" ca="1" si="17"/>
        <v>2</v>
      </c>
      <c r="H97" s="11">
        <f t="shared" ca="1" si="18"/>
        <v>8.4322376332981674E-2</v>
      </c>
      <c r="I97" s="11">
        <f t="shared" ca="1" si="19"/>
        <v>3</v>
      </c>
      <c r="J97" s="11">
        <f t="shared" ca="1" si="20"/>
        <v>201</v>
      </c>
      <c r="K97" s="11">
        <f t="shared" ca="1" si="21"/>
        <v>204</v>
      </c>
      <c r="L97" s="11">
        <f t="shared" ca="1" si="22"/>
        <v>0</v>
      </c>
      <c r="M97" s="11">
        <f t="shared" ca="1" si="23"/>
        <v>3</v>
      </c>
    </row>
    <row r="98" spans="1:13" x14ac:dyDescent="0.45">
      <c r="A98" s="11">
        <v>92</v>
      </c>
      <c r="B98" s="11">
        <f t="shared" ca="1" si="12"/>
        <v>0.68250343478778253</v>
      </c>
      <c r="C98" s="11">
        <f t="shared" ca="1" si="13"/>
        <v>3</v>
      </c>
      <c r="D98" s="11">
        <f t="shared" ca="1" si="14"/>
        <v>204</v>
      </c>
      <c r="E98" s="11">
        <f t="shared" ca="1" si="15"/>
        <v>201</v>
      </c>
      <c r="F98" s="11">
        <f t="shared" ca="1" si="16"/>
        <v>204</v>
      </c>
      <c r="G98" s="11">
        <f t="shared" ca="1" si="17"/>
        <v>1</v>
      </c>
      <c r="H98" s="11">
        <f t="shared" ca="1" si="18"/>
        <v>0.28677728372526445</v>
      </c>
      <c r="I98" s="11">
        <f t="shared" ca="1" si="19"/>
        <v>2</v>
      </c>
      <c r="J98" s="11">
        <f t="shared" ca="1" si="20"/>
        <v>204</v>
      </c>
      <c r="K98" s="11">
        <f t="shared" ca="1" si="21"/>
        <v>206</v>
      </c>
      <c r="L98" s="11">
        <f t="shared" ca="1" si="22"/>
        <v>0</v>
      </c>
      <c r="M98" s="11">
        <f t="shared" ca="1" si="23"/>
        <v>2</v>
      </c>
    </row>
    <row r="99" spans="1:13" x14ac:dyDescent="0.45">
      <c r="A99" s="11">
        <v>93</v>
      </c>
      <c r="B99" s="11">
        <f t="shared" ca="1" si="12"/>
        <v>0.19045582905798686</v>
      </c>
      <c r="C99" s="11">
        <f t="shared" ca="1" si="13"/>
        <v>1</v>
      </c>
      <c r="D99" s="11">
        <f t="shared" ca="1" si="14"/>
        <v>205</v>
      </c>
      <c r="E99" s="11">
        <f t="shared" ca="1" si="15"/>
        <v>206</v>
      </c>
      <c r="F99" s="11">
        <f t="shared" ca="1" si="16"/>
        <v>204</v>
      </c>
      <c r="G99" s="11">
        <f t="shared" ca="1" si="17"/>
        <v>2</v>
      </c>
      <c r="H99" s="11">
        <f t="shared" ca="1" si="18"/>
        <v>0.23160501649503773</v>
      </c>
      <c r="I99" s="11">
        <f t="shared" ca="1" si="19"/>
        <v>3</v>
      </c>
      <c r="J99" s="11">
        <f t="shared" ca="1" si="20"/>
        <v>205</v>
      </c>
      <c r="K99" s="11">
        <f t="shared" ca="1" si="21"/>
        <v>208</v>
      </c>
      <c r="L99" s="11">
        <f t="shared" ca="1" si="22"/>
        <v>0</v>
      </c>
      <c r="M99" s="11">
        <f t="shared" ca="1" si="23"/>
        <v>3</v>
      </c>
    </row>
    <row r="100" spans="1:13" x14ac:dyDescent="0.45">
      <c r="A100" s="11">
        <v>94</v>
      </c>
      <c r="B100" s="11">
        <f t="shared" ca="1" si="12"/>
        <v>0.93489269890007076</v>
      </c>
      <c r="C100" s="11">
        <f t="shared" ca="1" si="13"/>
        <v>4</v>
      </c>
      <c r="D100" s="11">
        <f t="shared" ca="1" si="14"/>
        <v>209</v>
      </c>
      <c r="E100" s="11">
        <f t="shared" ca="1" si="15"/>
        <v>206</v>
      </c>
      <c r="F100" s="11">
        <f t="shared" ca="1" si="16"/>
        <v>208</v>
      </c>
      <c r="G100" s="11">
        <f t="shared" ca="1" si="17"/>
        <v>1</v>
      </c>
      <c r="H100" s="11">
        <f t="shared" ca="1" si="18"/>
        <v>0.66470229993325536</v>
      </c>
      <c r="I100" s="11">
        <f t="shared" ca="1" si="19"/>
        <v>4</v>
      </c>
      <c r="J100" s="11">
        <f t="shared" ca="1" si="20"/>
        <v>209</v>
      </c>
      <c r="K100" s="11">
        <f t="shared" ca="1" si="21"/>
        <v>213</v>
      </c>
      <c r="L100" s="11">
        <f t="shared" ca="1" si="22"/>
        <v>0</v>
      </c>
      <c r="M100" s="11">
        <f t="shared" ca="1" si="23"/>
        <v>4</v>
      </c>
    </row>
    <row r="101" spans="1:13" x14ac:dyDescent="0.45">
      <c r="A101" s="11">
        <v>95</v>
      </c>
      <c r="B101" s="11">
        <f t="shared" ca="1" si="12"/>
        <v>0.72128363422955055</v>
      </c>
      <c r="C101" s="11">
        <f t="shared" ca="1" si="13"/>
        <v>3</v>
      </c>
      <c r="D101" s="11">
        <f t="shared" ca="1" si="14"/>
        <v>212</v>
      </c>
      <c r="E101" s="11">
        <f t="shared" ca="1" si="15"/>
        <v>213</v>
      </c>
      <c r="F101" s="11">
        <f t="shared" ca="1" si="16"/>
        <v>208</v>
      </c>
      <c r="G101" s="11">
        <f t="shared" ca="1" si="17"/>
        <v>2</v>
      </c>
      <c r="H101" s="11">
        <f t="shared" ca="1" si="18"/>
        <v>0.65120325734677453</v>
      </c>
      <c r="I101" s="11">
        <f t="shared" ca="1" si="19"/>
        <v>5</v>
      </c>
      <c r="J101" s="11">
        <f t="shared" ca="1" si="20"/>
        <v>212</v>
      </c>
      <c r="K101" s="11">
        <f t="shared" ca="1" si="21"/>
        <v>217</v>
      </c>
      <c r="L101" s="11">
        <f t="shared" ca="1" si="22"/>
        <v>0</v>
      </c>
      <c r="M101" s="11">
        <f t="shared" ca="1" si="23"/>
        <v>5</v>
      </c>
    </row>
    <row r="102" spans="1:13" x14ac:dyDescent="0.45">
      <c r="A102" s="11">
        <v>96</v>
      </c>
      <c r="B102" s="11">
        <f t="shared" ca="1" si="12"/>
        <v>0.50880536174021218</v>
      </c>
      <c r="C102" s="11">
        <f t="shared" ca="1" si="13"/>
        <v>2</v>
      </c>
      <c r="D102" s="11">
        <f t="shared" ca="1" si="14"/>
        <v>214</v>
      </c>
      <c r="E102" s="11">
        <f t="shared" ca="1" si="15"/>
        <v>213</v>
      </c>
      <c r="F102" s="11">
        <f t="shared" ca="1" si="16"/>
        <v>217</v>
      </c>
      <c r="G102" s="11">
        <f t="shared" ca="1" si="17"/>
        <v>1</v>
      </c>
      <c r="H102" s="11">
        <f t="shared" ca="1" si="18"/>
        <v>0.4921705893595052</v>
      </c>
      <c r="I102" s="11">
        <f t="shared" ca="1" si="19"/>
        <v>3</v>
      </c>
      <c r="J102" s="11">
        <f t="shared" ca="1" si="20"/>
        <v>214</v>
      </c>
      <c r="K102" s="11">
        <f t="shared" ca="1" si="21"/>
        <v>217</v>
      </c>
      <c r="L102" s="11">
        <f t="shared" ca="1" si="22"/>
        <v>0</v>
      </c>
      <c r="M102" s="11">
        <f t="shared" ca="1" si="23"/>
        <v>3</v>
      </c>
    </row>
    <row r="103" spans="1:13" x14ac:dyDescent="0.45">
      <c r="A103" s="11">
        <v>97</v>
      </c>
      <c r="B103" s="11">
        <f t="shared" ca="1" si="12"/>
        <v>0.94128743731824283</v>
      </c>
      <c r="C103" s="11">
        <f t="shared" ca="1" si="13"/>
        <v>4</v>
      </c>
      <c r="D103" s="11">
        <f t="shared" ca="1" si="14"/>
        <v>218</v>
      </c>
      <c r="E103" s="11">
        <f t="shared" ca="1" si="15"/>
        <v>217</v>
      </c>
      <c r="F103" s="11">
        <f t="shared" ca="1" si="16"/>
        <v>217</v>
      </c>
      <c r="G103" s="11">
        <f t="shared" ca="1" si="17"/>
        <v>1</v>
      </c>
      <c r="H103" s="11">
        <f t="shared" ca="1" si="18"/>
        <v>0.63526533344714264</v>
      </c>
      <c r="I103" s="11">
        <f t="shared" ca="1" si="19"/>
        <v>4</v>
      </c>
      <c r="J103" s="11">
        <f t="shared" ca="1" si="20"/>
        <v>218</v>
      </c>
      <c r="K103" s="11">
        <f t="shared" ca="1" si="21"/>
        <v>222</v>
      </c>
      <c r="L103" s="11">
        <f t="shared" ca="1" si="22"/>
        <v>0</v>
      </c>
      <c r="M103" s="11">
        <f t="shared" ca="1" si="23"/>
        <v>4</v>
      </c>
    </row>
    <row r="104" spans="1:13" x14ac:dyDescent="0.45">
      <c r="A104" s="11">
        <v>98</v>
      </c>
      <c r="B104" s="11">
        <f t="shared" ca="1" si="12"/>
        <v>0.69315016514937988</v>
      </c>
      <c r="C104" s="11">
        <f t="shared" ca="1" si="13"/>
        <v>3</v>
      </c>
      <c r="D104" s="11">
        <f t="shared" ca="1" si="14"/>
        <v>221</v>
      </c>
      <c r="E104" s="11">
        <f t="shared" ca="1" si="15"/>
        <v>222</v>
      </c>
      <c r="F104" s="11">
        <f t="shared" ca="1" si="16"/>
        <v>217</v>
      </c>
      <c r="G104" s="11">
        <f t="shared" ca="1" si="17"/>
        <v>2</v>
      </c>
      <c r="H104" s="11">
        <f t="shared" ca="1" si="18"/>
        <v>0.82191056828727915</v>
      </c>
      <c r="I104" s="11">
        <f t="shared" ca="1" si="19"/>
        <v>6</v>
      </c>
      <c r="J104" s="11">
        <f t="shared" ca="1" si="20"/>
        <v>221</v>
      </c>
      <c r="K104" s="11">
        <f t="shared" ca="1" si="21"/>
        <v>227</v>
      </c>
      <c r="L104" s="11">
        <f t="shared" ca="1" si="22"/>
        <v>0</v>
      </c>
      <c r="M104" s="11">
        <f t="shared" ca="1" si="23"/>
        <v>6</v>
      </c>
    </row>
    <row r="105" spans="1:13" x14ac:dyDescent="0.45">
      <c r="A105" s="11">
        <v>99</v>
      </c>
      <c r="B105" s="11">
        <f t="shared" ca="1" si="12"/>
        <v>0.27440504325849702</v>
      </c>
      <c r="C105" s="11">
        <f t="shared" ca="1" si="13"/>
        <v>2</v>
      </c>
      <c r="D105" s="11">
        <f t="shared" ca="1" si="14"/>
        <v>223</v>
      </c>
      <c r="E105" s="11">
        <f t="shared" ca="1" si="15"/>
        <v>222</v>
      </c>
      <c r="F105" s="11">
        <f t="shared" ca="1" si="16"/>
        <v>227</v>
      </c>
      <c r="G105" s="11">
        <f t="shared" ca="1" si="17"/>
        <v>1</v>
      </c>
      <c r="H105" s="11">
        <f t="shared" ca="1" si="18"/>
        <v>0.26317742888660256</v>
      </c>
      <c r="I105" s="11">
        <f t="shared" ca="1" si="19"/>
        <v>2</v>
      </c>
      <c r="J105" s="11">
        <f t="shared" ca="1" si="20"/>
        <v>223</v>
      </c>
      <c r="K105" s="11">
        <f t="shared" ca="1" si="21"/>
        <v>225</v>
      </c>
      <c r="L105" s="11">
        <f t="shared" ca="1" si="22"/>
        <v>0</v>
      </c>
      <c r="M105" s="11">
        <f t="shared" ca="1" si="23"/>
        <v>2</v>
      </c>
    </row>
    <row r="106" spans="1:13" x14ac:dyDescent="0.45">
      <c r="A106" s="11">
        <v>100</v>
      </c>
      <c r="B106" s="11">
        <f t="shared" ca="1" si="12"/>
        <v>0.69208951194947266</v>
      </c>
      <c r="C106" s="11">
        <f t="shared" ca="1" si="13"/>
        <v>3</v>
      </c>
      <c r="D106" s="11">
        <f t="shared" ca="1" si="14"/>
        <v>226</v>
      </c>
      <c r="E106" s="11">
        <f t="shared" ca="1" si="15"/>
        <v>225</v>
      </c>
      <c r="F106" s="11">
        <f t="shared" ca="1" si="16"/>
        <v>227</v>
      </c>
      <c r="G106" s="11">
        <f t="shared" ca="1" si="17"/>
        <v>1</v>
      </c>
      <c r="H106" s="11">
        <f t="shared" ca="1" si="18"/>
        <v>0.39770647279559279</v>
      </c>
      <c r="I106" s="11">
        <f t="shared" ca="1" si="19"/>
        <v>3</v>
      </c>
      <c r="J106" s="11">
        <f t="shared" ca="1" si="20"/>
        <v>226</v>
      </c>
      <c r="K106" s="11">
        <f t="shared" ca="1" si="21"/>
        <v>229</v>
      </c>
      <c r="L106" s="11">
        <f t="shared" ca="1" si="22"/>
        <v>0</v>
      </c>
      <c r="M106" s="11">
        <f t="shared" ca="1" si="23"/>
        <v>3</v>
      </c>
    </row>
    <row r="107" spans="1:13" x14ac:dyDescent="0.45">
      <c r="L107" s="11">
        <f ca="1">SUM(L7:L106)</f>
        <v>199</v>
      </c>
      <c r="M107" s="11">
        <f ca="1">SUM(M7:M106)</f>
        <v>565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44F4-06C9-415A-9036-1F08FBB1C520}">
  <dimension ref="A1:AB1014"/>
  <sheetViews>
    <sheetView topLeftCell="M5" zoomScale="70" zoomScaleNormal="70" workbookViewId="0">
      <selection activeCell="AA18" sqref="AA18"/>
    </sheetView>
  </sheetViews>
  <sheetFormatPr defaultRowHeight="17" x14ac:dyDescent="0.45"/>
  <cols>
    <col min="1" max="1" width="16.83203125" customWidth="1"/>
    <col min="2" max="2" width="12.9140625" customWidth="1"/>
    <col min="3" max="3" width="21.25" customWidth="1"/>
    <col min="4" max="4" width="14.1640625" customWidth="1"/>
    <col min="5" max="5" width="17.75" customWidth="1"/>
    <col min="6" max="6" width="13.08203125" customWidth="1"/>
    <col min="7" max="7" width="20.83203125" customWidth="1"/>
    <col min="8" max="8" width="10.9140625" customWidth="1"/>
    <col min="9" max="9" width="9.5" customWidth="1"/>
    <col min="10" max="10" width="9.33203125" customWidth="1"/>
    <col min="11" max="11" width="10.33203125" customWidth="1"/>
    <col min="13" max="13" width="16.75" customWidth="1"/>
    <col min="14" max="14" width="14.33203125" customWidth="1"/>
    <col min="15" max="15" width="15.83203125" customWidth="1"/>
    <col min="16" max="16" width="11.83203125" customWidth="1"/>
    <col min="17" max="17" width="9.75" customWidth="1"/>
    <col min="18" max="18" width="10.6640625" customWidth="1"/>
    <col min="20" max="20" width="15.1640625" customWidth="1"/>
    <col min="26" max="26" width="10.83203125" customWidth="1"/>
    <col min="27" max="27" width="11.08203125" bestFit="1" customWidth="1"/>
  </cols>
  <sheetData>
    <row r="1" spans="1:25" x14ac:dyDescent="0.45">
      <c r="A1" s="18" t="s">
        <v>62</v>
      </c>
      <c r="B1" s="18" t="s">
        <v>63</v>
      </c>
      <c r="C1" s="18" t="s">
        <v>64</v>
      </c>
      <c r="D1" s="26"/>
      <c r="E1" s="18" t="s">
        <v>65</v>
      </c>
      <c r="F1" s="18" t="s">
        <v>63</v>
      </c>
      <c r="G1" s="18" t="s">
        <v>64</v>
      </c>
    </row>
    <row r="2" spans="1:25" x14ac:dyDescent="0.45">
      <c r="A2" s="11">
        <v>1000</v>
      </c>
      <c r="B2" s="11">
        <v>0.1</v>
      </c>
      <c r="C2" s="11">
        <v>0</v>
      </c>
      <c r="E2" s="11">
        <v>5</v>
      </c>
      <c r="F2" s="11">
        <v>0.6</v>
      </c>
      <c r="G2" s="11">
        <v>0</v>
      </c>
    </row>
    <row r="3" spans="1:25" x14ac:dyDescent="0.45">
      <c r="A3" s="11">
        <v>1100</v>
      </c>
      <c r="B3" s="11">
        <v>0.13</v>
      </c>
      <c r="C3" s="11">
        <v>0.1</v>
      </c>
      <c r="E3" s="11">
        <v>10</v>
      </c>
      <c r="F3" s="11">
        <v>0.3</v>
      </c>
      <c r="G3" s="11">
        <v>0.6</v>
      </c>
    </row>
    <row r="4" spans="1:25" x14ac:dyDescent="0.45">
      <c r="A4" s="11">
        <v>1200</v>
      </c>
      <c r="B4" s="11">
        <v>0.25</v>
      </c>
      <c r="C4" s="11">
        <v>0.23</v>
      </c>
      <c r="E4" s="11">
        <v>15</v>
      </c>
      <c r="F4" s="11">
        <v>0.1</v>
      </c>
      <c r="G4" s="11">
        <v>0.9</v>
      </c>
    </row>
    <row r="5" spans="1:25" x14ac:dyDescent="0.45">
      <c r="A5" s="11">
        <v>1300</v>
      </c>
      <c r="B5" s="11">
        <v>0.13</v>
      </c>
      <c r="C5" s="11">
        <v>0.48</v>
      </c>
      <c r="V5" t="s">
        <v>85</v>
      </c>
    </row>
    <row r="6" spans="1:25" x14ac:dyDescent="0.45">
      <c r="A6" s="11">
        <v>1400</v>
      </c>
      <c r="B6" s="11">
        <v>0.09</v>
      </c>
      <c r="C6" s="11">
        <v>0.61</v>
      </c>
      <c r="V6">
        <f ca="1">SUM(C1014,E1014,G1014)/3</f>
        <v>1341233.3333333333</v>
      </c>
    </row>
    <row r="7" spans="1:25" x14ac:dyDescent="0.45">
      <c r="A7" s="11">
        <v>1500</v>
      </c>
      <c r="B7" s="11">
        <v>0.12</v>
      </c>
      <c r="C7" s="11">
        <v>0.7</v>
      </c>
    </row>
    <row r="8" spans="1:25" x14ac:dyDescent="0.45">
      <c r="A8" s="11">
        <v>1600</v>
      </c>
      <c r="B8" s="11">
        <v>0.02</v>
      </c>
      <c r="C8" s="11">
        <v>0.82</v>
      </c>
    </row>
    <row r="9" spans="1:25" x14ac:dyDescent="0.45">
      <c r="A9" s="11">
        <v>1700</v>
      </c>
      <c r="B9" s="11">
        <v>0.06</v>
      </c>
      <c r="C9" s="11">
        <v>0.84</v>
      </c>
    </row>
    <row r="10" spans="1:25" x14ac:dyDescent="0.45">
      <c r="A10" s="11">
        <v>1800</v>
      </c>
      <c r="B10" s="11">
        <v>0.05</v>
      </c>
      <c r="C10" s="11">
        <v>0.9</v>
      </c>
    </row>
    <row r="11" spans="1:25" x14ac:dyDescent="0.45">
      <c r="A11" s="11">
        <v>1900</v>
      </c>
      <c r="B11" s="11">
        <v>0.05</v>
      </c>
      <c r="C11" s="11">
        <v>0.95</v>
      </c>
    </row>
    <row r="12" spans="1:25" x14ac:dyDescent="0.45">
      <c r="K12" s="25" t="s">
        <v>79</v>
      </c>
      <c r="L12" s="25"/>
      <c r="M12" s="25"/>
      <c r="N12" s="25"/>
      <c r="O12" s="25"/>
      <c r="P12" s="25" t="s">
        <v>82</v>
      </c>
      <c r="Q12" s="25"/>
      <c r="R12" s="25"/>
      <c r="S12" s="25"/>
      <c r="T12" s="25"/>
    </row>
    <row r="13" spans="1:25" x14ac:dyDescent="0.45">
      <c r="A13" s="18" t="s">
        <v>66</v>
      </c>
      <c r="B13" s="18" t="s">
        <v>67</v>
      </c>
      <c r="C13" s="18" t="s">
        <v>68</v>
      </c>
      <c r="D13" s="18" t="s">
        <v>69</v>
      </c>
      <c r="E13" s="18" t="s">
        <v>70</v>
      </c>
      <c r="F13" s="18" t="s">
        <v>71</v>
      </c>
      <c r="G13" s="18" t="s">
        <v>72</v>
      </c>
      <c r="H13" s="18" t="s">
        <v>73</v>
      </c>
      <c r="I13" s="18" t="s">
        <v>74</v>
      </c>
      <c r="J13" s="18" t="s">
        <v>75</v>
      </c>
      <c r="K13" s="18" t="s">
        <v>76</v>
      </c>
      <c r="L13" s="18" t="s">
        <v>77</v>
      </c>
      <c r="M13" s="18" t="s">
        <v>81</v>
      </c>
      <c r="N13" s="18" t="s">
        <v>80</v>
      </c>
      <c r="O13" s="18" t="s">
        <v>78</v>
      </c>
      <c r="P13" s="18" t="s">
        <v>76</v>
      </c>
      <c r="Q13" s="18" t="s">
        <v>77</v>
      </c>
      <c r="R13" s="18" t="s">
        <v>81</v>
      </c>
      <c r="S13" s="18" t="s">
        <v>80</v>
      </c>
      <c r="T13" s="18" t="s">
        <v>78</v>
      </c>
      <c r="U13" s="15"/>
      <c r="V13" s="27" t="s">
        <v>83</v>
      </c>
      <c r="Y13" s="28">
        <f ca="1">SUM(T14:T1013)/SUM(H14:H1013)</f>
        <v>0.71345029239766078</v>
      </c>
    </row>
    <row r="14" spans="1:25" x14ac:dyDescent="0.45">
      <c r="A14" s="11">
        <v>1</v>
      </c>
      <c r="B14" s="11">
        <f ca="1">RAND()</f>
        <v>0.9421534312846005</v>
      </c>
      <c r="C14" s="11">
        <f ca="1">LOOKUP(B14, $C$2:$C$11, $A$2:$A$11)</f>
        <v>1800</v>
      </c>
      <c r="D14" s="11">
        <f ca="1">RAND()</f>
        <v>0.93853487628065069</v>
      </c>
      <c r="E14" s="11">
        <f ca="1">LOOKUP(D14, $C$2:$C$11, $A$2:$A$11)</f>
        <v>1800</v>
      </c>
      <c r="F14" s="11">
        <f ca="1">RAND()</f>
        <v>0.67088404682346758</v>
      </c>
      <c r="G14" s="11">
        <f ca="1">LOOKUP(F14, $C$2:$C$11, $A$2:$A$11)</f>
        <v>1400</v>
      </c>
      <c r="H14" s="11">
        <f ca="1">MIN(C14, E14, G14)</f>
        <v>1400</v>
      </c>
      <c r="I14" s="11">
        <f ca="1">RAND()</f>
        <v>0.45607836450536676</v>
      </c>
      <c r="J14" s="11">
        <f ca="1">LOOKUP(I14, $G$2:$G$4, $E$2:$E$4)</f>
        <v>5</v>
      </c>
      <c r="K14" s="24">
        <v>96</v>
      </c>
      <c r="L14" s="24">
        <f ca="1">J14*10</f>
        <v>50</v>
      </c>
      <c r="M14" s="24">
        <v>400</v>
      </c>
      <c r="N14" s="24">
        <v>20</v>
      </c>
      <c r="O14" s="24">
        <f ca="1">K14+L14+M14+N14</f>
        <v>566</v>
      </c>
      <c r="P14" s="24">
        <v>32</v>
      </c>
      <c r="Q14" s="11">
        <f ca="1">J14*10</f>
        <v>50</v>
      </c>
      <c r="R14" s="24">
        <v>200</v>
      </c>
      <c r="S14" s="24">
        <v>10</v>
      </c>
      <c r="T14" s="24">
        <f ca="1">SUM(P14:S14)</f>
        <v>292</v>
      </c>
      <c r="U14" s="15"/>
      <c r="V14" t="s">
        <v>84</v>
      </c>
      <c r="Y14" s="28">
        <f ca="1">SUM(O14:O1013)/V6</f>
        <v>0.44131023684668341</v>
      </c>
    </row>
    <row r="15" spans="1:25" x14ac:dyDescent="0.45">
      <c r="A15" s="11">
        <v>2</v>
      </c>
      <c r="B15" s="11">
        <f t="shared" ref="B15:B78" ca="1" si="0">RAND()</f>
        <v>0.65881438343782794</v>
      </c>
      <c r="C15" s="11">
        <f t="shared" ref="C15:C78" ca="1" si="1">LOOKUP(B15, $C$2:$C$11, $A$2:$A$11)</f>
        <v>1400</v>
      </c>
      <c r="D15" s="11">
        <f t="shared" ref="D15:D78" ca="1" si="2">RAND()</f>
        <v>0.37791632425164146</v>
      </c>
      <c r="E15" s="11">
        <f t="shared" ref="E15:E78" ca="1" si="3">LOOKUP(D15, $C$2:$C$11, $A$2:$A$11)</f>
        <v>1200</v>
      </c>
      <c r="F15" s="11">
        <f t="shared" ref="F15:F78" ca="1" si="4">RAND()</f>
        <v>0.53748554246612212</v>
      </c>
      <c r="G15" s="11">
        <f t="shared" ref="G15:G78" ca="1" si="5">LOOKUP(F15, $C$2:$C$11, $A$2:$A$11)</f>
        <v>1300</v>
      </c>
      <c r="H15" s="11">
        <f t="shared" ref="H15:H78" ca="1" si="6">MIN(C15, E15, G15)</f>
        <v>1200</v>
      </c>
      <c r="I15" s="11">
        <f t="shared" ref="I15:I78" ca="1" si="7">RAND()</f>
        <v>3.8996411740991554E-2</v>
      </c>
      <c r="J15" s="11">
        <f t="shared" ref="J15:J78" ca="1" si="8">LOOKUP(I15, $G$2:$G$4, $E$2:$E$4)</f>
        <v>5</v>
      </c>
      <c r="K15" s="24">
        <v>96</v>
      </c>
      <c r="L15" s="24">
        <f t="shared" ref="L15:L78" ca="1" si="9">J15*10</f>
        <v>50</v>
      </c>
      <c r="M15" s="24">
        <v>400</v>
      </c>
      <c r="N15" s="24">
        <v>20</v>
      </c>
      <c r="O15" s="24">
        <f t="shared" ref="O15:O78" ca="1" si="10">K15+L15+M15+N15</f>
        <v>566</v>
      </c>
      <c r="P15" s="24">
        <v>33</v>
      </c>
      <c r="Q15" s="11">
        <f t="shared" ref="Q15:Q78" ca="1" si="11">J15*10</f>
        <v>50</v>
      </c>
      <c r="R15" s="24">
        <v>200</v>
      </c>
      <c r="S15" s="24">
        <v>10</v>
      </c>
      <c r="T15" s="24">
        <f t="shared" ref="T15:T78" ca="1" si="12">SUM(P15:S15)</f>
        <v>293</v>
      </c>
    </row>
    <row r="16" spans="1:25" x14ac:dyDescent="0.45">
      <c r="A16" s="11">
        <v>3</v>
      </c>
      <c r="B16" s="11">
        <f t="shared" ca="1" si="0"/>
        <v>0.61350347209409284</v>
      </c>
      <c r="C16" s="11">
        <f t="shared" ca="1" si="1"/>
        <v>1400</v>
      </c>
      <c r="D16" s="11">
        <f t="shared" ca="1" si="2"/>
        <v>0.56086470434556013</v>
      </c>
      <c r="E16" s="11">
        <f t="shared" ca="1" si="3"/>
        <v>1300</v>
      </c>
      <c r="F16" s="11">
        <f t="shared" ca="1" si="4"/>
        <v>0.61285142497002953</v>
      </c>
      <c r="G16" s="11">
        <f t="shared" ca="1" si="5"/>
        <v>1400</v>
      </c>
      <c r="H16" s="11">
        <f t="shared" ca="1" si="6"/>
        <v>1300</v>
      </c>
      <c r="I16" s="11">
        <f t="shared" ca="1" si="7"/>
        <v>0.53061453397408453</v>
      </c>
      <c r="J16" s="11">
        <f t="shared" ca="1" si="8"/>
        <v>5</v>
      </c>
      <c r="K16" s="24">
        <v>96</v>
      </c>
      <c r="L16" s="24">
        <f t="shared" ca="1" si="9"/>
        <v>50</v>
      </c>
      <c r="M16" s="24">
        <v>400</v>
      </c>
      <c r="N16" s="24">
        <v>20</v>
      </c>
      <c r="O16" s="24">
        <f t="shared" ca="1" si="10"/>
        <v>566</v>
      </c>
      <c r="P16" s="24">
        <v>34</v>
      </c>
      <c r="Q16" s="11">
        <f t="shared" ca="1" si="11"/>
        <v>50</v>
      </c>
      <c r="R16" s="24">
        <v>200</v>
      </c>
      <c r="S16" s="24">
        <v>10</v>
      </c>
      <c r="T16" s="24">
        <f t="shared" ca="1" si="12"/>
        <v>294</v>
      </c>
      <c r="V16" t="s">
        <v>95</v>
      </c>
    </row>
    <row r="17" spans="1:28" x14ac:dyDescent="0.45">
      <c r="A17" s="11">
        <v>4</v>
      </c>
      <c r="B17" s="11">
        <f t="shared" ca="1" si="0"/>
        <v>0.2126599261954617</v>
      </c>
      <c r="C17" s="11">
        <f t="shared" ca="1" si="1"/>
        <v>1100</v>
      </c>
      <c r="D17" s="11">
        <f t="shared" ca="1" si="2"/>
        <v>0.48673264081735856</v>
      </c>
      <c r="E17" s="11">
        <f t="shared" ca="1" si="3"/>
        <v>1300</v>
      </c>
      <c r="F17" s="11">
        <f t="shared" ca="1" si="4"/>
        <v>0.69148982178085039</v>
      </c>
      <c r="G17" s="11">
        <f t="shared" ca="1" si="5"/>
        <v>1400</v>
      </c>
      <c r="H17" s="11">
        <f t="shared" ca="1" si="6"/>
        <v>1100</v>
      </c>
      <c r="I17" s="11">
        <f t="shared" ca="1" si="7"/>
        <v>0.97944947483621403</v>
      </c>
      <c r="J17" s="11">
        <f t="shared" ca="1" si="8"/>
        <v>15</v>
      </c>
      <c r="K17" s="24">
        <v>96</v>
      </c>
      <c r="L17" s="24">
        <f t="shared" ca="1" si="9"/>
        <v>150</v>
      </c>
      <c r="M17" s="24">
        <v>400</v>
      </c>
      <c r="N17" s="24">
        <v>20</v>
      </c>
      <c r="O17" s="24">
        <f t="shared" ca="1" si="10"/>
        <v>666</v>
      </c>
      <c r="P17" s="24">
        <v>35</v>
      </c>
      <c r="Q17" s="11">
        <f t="shared" ca="1" si="11"/>
        <v>150</v>
      </c>
      <c r="R17" s="24">
        <v>200</v>
      </c>
      <c r="S17" s="24">
        <v>10</v>
      </c>
      <c r="T17" s="24">
        <f t="shared" ca="1" si="12"/>
        <v>395</v>
      </c>
    </row>
    <row r="18" spans="1:28" x14ac:dyDescent="0.45">
      <c r="A18" s="11">
        <v>5</v>
      </c>
      <c r="B18" s="11">
        <f t="shared" ca="1" si="0"/>
        <v>0.15158393736771214</v>
      </c>
      <c r="C18" s="11">
        <f t="shared" ca="1" si="1"/>
        <v>1100</v>
      </c>
      <c r="D18" s="11">
        <f t="shared" ca="1" si="2"/>
        <v>0.1577429789369853</v>
      </c>
      <c r="E18" s="11">
        <f t="shared" ca="1" si="3"/>
        <v>1100</v>
      </c>
      <c r="F18" s="11">
        <f t="shared" ca="1" si="4"/>
        <v>0.21562292824788354</v>
      </c>
      <c r="G18" s="11">
        <f t="shared" ca="1" si="5"/>
        <v>1100</v>
      </c>
      <c r="H18" s="11">
        <f t="shared" ca="1" si="6"/>
        <v>1100</v>
      </c>
      <c r="I18" s="11">
        <f t="shared" ca="1" si="7"/>
        <v>0.9040658728241181</v>
      </c>
      <c r="J18" s="11">
        <f t="shared" ca="1" si="8"/>
        <v>15</v>
      </c>
      <c r="K18" s="24">
        <v>96</v>
      </c>
      <c r="L18" s="24">
        <f t="shared" ca="1" si="9"/>
        <v>150</v>
      </c>
      <c r="M18" s="24">
        <v>400</v>
      </c>
      <c r="N18" s="24">
        <v>20</v>
      </c>
      <c r="O18" s="24">
        <f t="shared" ca="1" si="10"/>
        <v>666</v>
      </c>
      <c r="P18" s="24">
        <v>36</v>
      </c>
      <c r="Q18" s="11">
        <f t="shared" ca="1" si="11"/>
        <v>150</v>
      </c>
      <c r="R18" s="24">
        <v>200</v>
      </c>
      <c r="S18" s="24">
        <v>10</v>
      </c>
      <c r="T18" s="24">
        <f t="shared" ca="1" si="12"/>
        <v>396</v>
      </c>
      <c r="V18" s="26" t="s">
        <v>86</v>
      </c>
      <c r="W18" s="26"/>
      <c r="X18" s="26"/>
      <c r="Y18" s="26"/>
      <c r="Z18" s="26"/>
      <c r="AA18" s="29">
        <f ca="1">(Y13-Y14)* SUM(H14:H1013)</f>
        <v>311790.86164475477</v>
      </c>
      <c r="AB18" s="30">
        <f ca="1">AA18/SUM(C1014,E1014,G1014)</f>
        <v>7.7488595482952199E-2</v>
      </c>
    </row>
    <row r="19" spans="1:28" x14ac:dyDescent="0.45">
      <c r="A19" s="11">
        <v>6</v>
      </c>
      <c r="B19" s="11">
        <f t="shared" ca="1" si="0"/>
        <v>0.26613085429334138</v>
      </c>
      <c r="C19" s="11">
        <f t="shared" ca="1" si="1"/>
        <v>1200</v>
      </c>
      <c r="D19" s="11">
        <f t="shared" ca="1" si="2"/>
        <v>0.3703583481660746</v>
      </c>
      <c r="E19" s="11">
        <f t="shared" ca="1" si="3"/>
        <v>1200</v>
      </c>
      <c r="F19" s="11">
        <f t="shared" ca="1" si="4"/>
        <v>0.61447505826500426</v>
      </c>
      <c r="G19" s="11">
        <f t="shared" ca="1" si="5"/>
        <v>1400</v>
      </c>
      <c r="H19" s="11">
        <f t="shared" ca="1" si="6"/>
        <v>1200</v>
      </c>
      <c r="I19" s="11">
        <f t="shared" ca="1" si="7"/>
        <v>0.4325816701690044</v>
      </c>
      <c r="J19" s="11">
        <f t="shared" ca="1" si="8"/>
        <v>5</v>
      </c>
      <c r="K19" s="24">
        <v>96</v>
      </c>
      <c r="L19" s="24">
        <f t="shared" ca="1" si="9"/>
        <v>50</v>
      </c>
      <c r="M19" s="24">
        <v>400</v>
      </c>
      <c r="N19" s="24">
        <v>20</v>
      </c>
      <c r="O19" s="24">
        <f t="shared" ca="1" si="10"/>
        <v>566</v>
      </c>
      <c r="P19" s="24">
        <v>37</v>
      </c>
      <c r="Q19" s="11">
        <f t="shared" ca="1" si="11"/>
        <v>50</v>
      </c>
      <c r="R19" s="24">
        <v>200</v>
      </c>
      <c r="S19" s="24">
        <v>10</v>
      </c>
      <c r="T19" s="24">
        <f t="shared" ca="1" si="12"/>
        <v>297</v>
      </c>
      <c r="AA19" s="11"/>
      <c r="AB19" s="11"/>
    </row>
    <row r="20" spans="1:28" x14ac:dyDescent="0.45">
      <c r="A20" s="11">
        <v>7</v>
      </c>
      <c r="B20" s="11">
        <f t="shared" ca="1" si="0"/>
        <v>0.22155775291243651</v>
      </c>
      <c r="C20" s="11">
        <f t="shared" ca="1" si="1"/>
        <v>1100</v>
      </c>
      <c r="D20" s="11">
        <f t="shared" ca="1" si="2"/>
        <v>0.72170903134062447</v>
      </c>
      <c r="E20" s="11">
        <f t="shared" ca="1" si="3"/>
        <v>1500</v>
      </c>
      <c r="F20" s="11">
        <f t="shared" ca="1" si="4"/>
        <v>3.6640020846573473E-2</v>
      </c>
      <c r="G20" s="11">
        <f t="shared" ca="1" si="5"/>
        <v>1000</v>
      </c>
      <c r="H20" s="11">
        <f t="shared" ca="1" si="6"/>
        <v>1000</v>
      </c>
      <c r="I20" s="11">
        <f t="shared" ca="1" si="7"/>
        <v>0.39355367258326002</v>
      </c>
      <c r="J20" s="11">
        <f t="shared" ca="1" si="8"/>
        <v>5</v>
      </c>
      <c r="K20" s="24">
        <v>96</v>
      </c>
      <c r="L20" s="24">
        <f t="shared" ca="1" si="9"/>
        <v>50</v>
      </c>
      <c r="M20" s="24">
        <v>400</v>
      </c>
      <c r="N20" s="24">
        <v>20</v>
      </c>
      <c r="O20" s="24">
        <f t="shared" ca="1" si="10"/>
        <v>566</v>
      </c>
      <c r="P20" s="24">
        <v>38</v>
      </c>
      <c r="Q20" s="11">
        <f t="shared" ca="1" si="11"/>
        <v>50</v>
      </c>
      <c r="R20" s="24">
        <v>200</v>
      </c>
      <c r="S20" s="24">
        <v>10</v>
      </c>
      <c r="T20" s="24">
        <f t="shared" ca="1" si="12"/>
        <v>298</v>
      </c>
      <c r="V20" s="26" t="s">
        <v>87</v>
      </c>
      <c r="W20" s="26"/>
      <c r="X20" s="26"/>
      <c r="Y20" s="26"/>
      <c r="Z20" s="26"/>
      <c r="AA20" s="11">
        <f ca="1">AVERAGE(C14:C1013, E14:E1013, G14:G1013)</f>
        <v>1341.2333333333333</v>
      </c>
      <c r="AB20" s="11">
        <f ca="1">_xlfn.STDEV.P(C14:C1013, E14:E1013, G14:G1013)</f>
        <v>250.33939406777796</v>
      </c>
    </row>
    <row r="21" spans="1:28" x14ac:dyDescent="0.45">
      <c r="A21" s="11">
        <v>8</v>
      </c>
      <c r="B21" s="11">
        <f t="shared" ca="1" si="0"/>
        <v>6.4896835976779199E-2</v>
      </c>
      <c r="C21" s="11">
        <f t="shared" ca="1" si="1"/>
        <v>1000</v>
      </c>
      <c r="D21" s="11">
        <f t="shared" ca="1" si="2"/>
        <v>0.38281345717353643</v>
      </c>
      <c r="E21" s="11">
        <f t="shared" ca="1" si="3"/>
        <v>1200</v>
      </c>
      <c r="F21" s="11">
        <f t="shared" ca="1" si="4"/>
        <v>9.830368045218596E-2</v>
      </c>
      <c r="G21" s="11">
        <f t="shared" ca="1" si="5"/>
        <v>1000</v>
      </c>
      <c r="H21" s="11">
        <f t="shared" ca="1" si="6"/>
        <v>1000</v>
      </c>
      <c r="I21" s="11">
        <f t="shared" ca="1" si="7"/>
        <v>0.93703681269254113</v>
      </c>
      <c r="J21" s="11">
        <f t="shared" ca="1" si="8"/>
        <v>15</v>
      </c>
      <c r="K21" s="24">
        <v>96</v>
      </c>
      <c r="L21" s="24">
        <f t="shared" ca="1" si="9"/>
        <v>150</v>
      </c>
      <c r="M21" s="24">
        <v>400</v>
      </c>
      <c r="N21" s="24">
        <v>20</v>
      </c>
      <c r="O21" s="24">
        <f t="shared" ca="1" si="10"/>
        <v>666</v>
      </c>
      <c r="P21" s="24">
        <v>39</v>
      </c>
      <c r="Q21" s="11">
        <f t="shared" ca="1" si="11"/>
        <v>150</v>
      </c>
      <c r="R21" s="24">
        <v>200</v>
      </c>
      <c r="S21" s="24">
        <v>10</v>
      </c>
      <c r="T21" s="24">
        <f t="shared" ca="1" si="12"/>
        <v>399</v>
      </c>
      <c r="AA21" s="11" t="s">
        <v>93</v>
      </c>
      <c r="AB21" s="11" t="s">
        <v>94</v>
      </c>
    </row>
    <row r="22" spans="1:28" x14ac:dyDescent="0.45">
      <c r="A22" s="11">
        <v>9</v>
      </c>
      <c r="B22" s="11">
        <f t="shared" ca="1" si="0"/>
        <v>0.20622580150348735</v>
      </c>
      <c r="C22" s="11">
        <f t="shared" ca="1" si="1"/>
        <v>1100</v>
      </c>
      <c r="D22" s="11">
        <f t="shared" ca="1" si="2"/>
        <v>0.82892012140128812</v>
      </c>
      <c r="E22" s="11">
        <f t="shared" ca="1" si="3"/>
        <v>1600</v>
      </c>
      <c r="F22" s="11">
        <f t="shared" ca="1" si="4"/>
        <v>0.46257889440438371</v>
      </c>
      <c r="G22" s="11">
        <f t="shared" ca="1" si="5"/>
        <v>1200</v>
      </c>
      <c r="H22" s="11">
        <f t="shared" ca="1" si="6"/>
        <v>1100</v>
      </c>
      <c r="I22" s="11">
        <f t="shared" ca="1" si="7"/>
        <v>0.81507602801417978</v>
      </c>
      <c r="J22" s="11">
        <f t="shared" ca="1" si="8"/>
        <v>10</v>
      </c>
      <c r="K22" s="24">
        <v>96</v>
      </c>
      <c r="L22" s="24">
        <f t="shared" ca="1" si="9"/>
        <v>100</v>
      </c>
      <c r="M22" s="24">
        <v>400</v>
      </c>
      <c r="N22" s="24">
        <v>20</v>
      </c>
      <c r="O22" s="24">
        <f t="shared" ca="1" si="10"/>
        <v>616</v>
      </c>
      <c r="P22" s="24">
        <v>40</v>
      </c>
      <c r="Q22" s="11">
        <f t="shared" ca="1" si="11"/>
        <v>100</v>
      </c>
      <c r="R22" s="24">
        <v>200</v>
      </c>
      <c r="S22" s="24">
        <v>10</v>
      </c>
      <c r="T22" s="24">
        <f t="shared" ca="1" si="12"/>
        <v>350</v>
      </c>
      <c r="V22" s="26" t="s">
        <v>88</v>
      </c>
      <c r="W22" s="26"/>
      <c r="X22" s="26"/>
      <c r="Y22" s="26"/>
      <c r="Z22" s="26"/>
      <c r="AA22" s="11">
        <f ca="1">AVERAGE(J14:J1013)</f>
        <v>7.59</v>
      </c>
      <c r="AB22" s="11">
        <f ca="1">_xlfn.MODE.SNGL(J14:J1013)</f>
        <v>5</v>
      </c>
    </row>
    <row r="23" spans="1:28" x14ac:dyDescent="0.45">
      <c r="A23" s="11">
        <v>10</v>
      </c>
      <c r="B23" s="11">
        <f t="shared" ca="1" si="0"/>
        <v>0.9638400577670746</v>
      </c>
      <c r="C23" s="11">
        <f t="shared" ca="1" si="1"/>
        <v>1900</v>
      </c>
      <c r="D23" s="11">
        <f t="shared" ca="1" si="2"/>
        <v>0.93213594672072175</v>
      </c>
      <c r="E23" s="11">
        <f t="shared" ca="1" si="3"/>
        <v>1800</v>
      </c>
      <c r="F23" s="11">
        <f t="shared" ca="1" si="4"/>
        <v>0.66830014387947601</v>
      </c>
      <c r="G23" s="11">
        <f t="shared" ca="1" si="5"/>
        <v>1400</v>
      </c>
      <c r="H23" s="11">
        <f t="shared" ca="1" si="6"/>
        <v>1400</v>
      </c>
      <c r="I23" s="11">
        <f t="shared" ca="1" si="7"/>
        <v>0.83319298274497811</v>
      </c>
      <c r="J23" s="11">
        <f t="shared" ca="1" si="8"/>
        <v>10</v>
      </c>
      <c r="K23" s="24">
        <v>96</v>
      </c>
      <c r="L23" s="24">
        <f t="shared" ca="1" si="9"/>
        <v>100</v>
      </c>
      <c r="M23" s="24">
        <v>400</v>
      </c>
      <c r="N23" s="24">
        <v>20</v>
      </c>
      <c r="O23" s="24">
        <f t="shared" ca="1" si="10"/>
        <v>616</v>
      </c>
      <c r="P23" s="24">
        <v>41</v>
      </c>
      <c r="Q23" s="11">
        <f t="shared" ca="1" si="11"/>
        <v>100</v>
      </c>
      <c r="R23" s="24">
        <v>200</v>
      </c>
      <c r="S23" s="24">
        <v>10</v>
      </c>
      <c r="T23" s="24">
        <f t="shared" ca="1" si="12"/>
        <v>351</v>
      </c>
      <c r="AA23" s="11" t="s">
        <v>91</v>
      </c>
      <c r="AB23" s="11" t="s">
        <v>92</v>
      </c>
    </row>
    <row r="24" spans="1:28" x14ac:dyDescent="0.45">
      <c r="A24" s="11">
        <v>11</v>
      </c>
      <c r="B24" s="11">
        <f t="shared" ca="1" si="0"/>
        <v>0.18500939841417885</v>
      </c>
      <c r="C24" s="11">
        <f t="shared" ca="1" si="1"/>
        <v>1100</v>
      </c>
      <c r="D24" s="11">
        <f t="shared" ca="1" si="2"/>
        <v>0.80411193852663732</v>
      </c>
      <c r="E24" s="11">
        <f t="shared" ca="1" si="3"/>
        <v>1500</v>
      </c>
      <c r="F24" s="11">
        <f t="shared" ca="1" si="4"/>
        <v>0.55825903966935841</v>
      </c>
      <c r="G24" s="11">
        <f t="shared" ca="1" si="5"/>
        <v>1300</v>
      </c>
      <c r="H24" s="11">
        <f t="shared" ca="1" si="6"/>
        <v>1100</v>
      </c>
      <c r="I24" s="11">
        <f t="shared" ca="1" si="7"/>
        <v>0.13306298264098482</v>
      </c>
      <c r="J24" s="11">
        <f t="shared" ca="1" si="8"/>
        <v>5</v>
      </c>
      <c r="K24" s="24">
        <v>96</v>
      </c>
      <c r="L24" s="24">
        <f t="shared" ca="1" si="9"/>
        <v>50</v>
      </c>
      <c r="M24" s="24">
        <v>400</v>
      </c>
      <c r="N24" s="24">
        <v>20</v>
      </c>
      <c r="O24" s="24">
        <f t="shared" ca="1" si="10"/>
        <v>566</v>
      </c>
      <c r="P24" s="24">
        <v>42</v>
      </c>
      <c r="Q24" s="11">
        <f t="shared" ca="1" si="11"/>
        <v>50</v>
      </c>
      <c r="R24" s="24">
        <v>200</v>
      </c>
      <c r="S24" s="24">
        <v>10</v>
      </c>
      <c r="T24" s="24">
        <f t="shared" ca="1" si="12"/>
        <v>302</v>
      </c>
      <c r="V24" s="26" t="s">
        <v>89</v>
      </c>
      <c r="W24" s="26"/>
      <c r="X24" s="26"/>
      <c r="Y24" s="26"/>
      <c r="Z24" s="26"/>
      <c r="AA24" s="11">
        <f ca="1">(1000*20)+SUM(J14:J1013)</f>
        <v>27590</v>
      </c>
      <c r="AB24" s="11">
        <f ca="1">(1000*40)+SUM(J14:J1013)</f>
        <v>47590</v>
      </c>
    </row>
    <row r="25" spans="1:28" x14ac:dyDescent="0.45">
      <c r="A25" s="11">
        <v>12</v>
      </c>
      <c r="B25" s="11">
        <f t="shared" ca="1" si="0"/>
        <v>0.15352895766012953</v>
      </c>
      <c r="C25" s="11">
        <f t="shared" ca="1" si="1"/>
        <v>1100</v>
      </c>
      <c r="D25" s="11">
        <f t="shared" ca="1" si="2"/>
        <v>0.50530237197316485</v>
      </c>
      <c r="E25" s="11">
        <f t="shared" ca="1" si="3"/>
        <v>1300</v>
      </c>
      <c r="F25" s="11">
        <f t="shared" ca="1" si="4"/>
        <v>0.60525540022145219</v>
      </c>
      <c r="G25" s="11">
        <f t="shared" ca="1" si="5"/>
        <v>1300</v>
      </c>
      <c r="H25" s="11">
        <f t="shared" ca="1" si="6"/>
        <v>1100</v>
      </c>
      <c r="I25" s="11">
        <f t="shared" ca="1" si="7"/>
        <v>0.52785114858707027</v>
      </c>
      <c r="J25" s="11">
        <f t="shared" ca="1" si="8"/>
        <v>5</v>
      </c>
      <c r="K25" s="24">
        <v>96</v>
      </c>
      <c r="L25" s="24">
        <f t="shared" ca="1" si="9"/>
        <v>50</v>
      </c>
      <c r="M25" s="24">
        <v>400</v>
      </c>
      <c r="N25" s="24">
        <v>20</v>
      </c>
      <c r="O25" s="24">
        <f t="shared" ca="1" si="10"/>
        <v>566</v>
      </c>
      <c r="P25" s="24">
        <v>43</v>
      </c>
      <c r="Q25" s="11">
        <f t="shared" ca="1" si="11"/>
        <v>50</v>
      </c>
      <c r="R25" s="24">
        <v>200</v>
      </c>
      <c r="S25" s="24">
        <v>10</v>
      </c>
      <c r="T25" s="24">
        <f t="shared" ca="1" si="12"/>
        <v>303</v>
      </c>
      <c r="AA25" s="11"/>
      <c r="AB25" s="11"/>
    </row>
    <row r="26" spans="1:28" x14ac:dyDescent="0.45">
      <c r="A26" s="11">
        <v>13</v>
      </c>
      <c r="B26" s="11">
        <f t="shared" ca="1" si="0"/>
        <v>2.6295257468259781E-2</v>
      </c>
      <c r="C26" s="11">
        <f t="shared" ca="1" si="1"/>
        <v>1000</v>
      </c>
      <c r="D26" s="11">
        <f t="shared" ca="1" si="2"/>
        <v>0.33306181542883473</v>
      </c>
      <c r="E26" s="11">
        <f t="shared" ca="1" si="3"/>
        <v>1200</v>
      </c>
      <c r="F26" s="11">
        <f t="shared" ca="1" si="4"/>
        <v>0.62448252154581996</v>
      </c>
      <c r="G26" s="11">
        <f t="shared" ca="1" si="5"/>
        <v>1400</v>
      </c>
      <c r="H26" s="11">
        <f t="shared" ca="1" si="6"/>
        <v>1000</v>
      </c>
      <c r="I26" s="11">
        <f t="shared" ca="1" si="7"/>
        <v>0.4518855912815043</v>
      </c>
      <c r="J26" s="11">
        <f t="shared" ca="1" si="8"/>
        <v>5</v>
      </c>
      <c r="K26" s="24">
        <v>96</v>
      </c>
      <c r="L26" s="24">
        <f t="shared" ca="1" si="9"/>
        <v>50</v>
      </c>
      <c r="M26" s="24">
        <v>400</v>
      </c>
      <c r="N26" s="24">
        <v>20</v>
      </c>
      <c r="O26" s="24">
        <f t="shared" ca="1" si="10"/>
        <v>566</v>
      </c>
      <c r="P26" s="24">
        <v>44</v>
      </c>
      <c r="Q26" s="11">
        <f t="shared" ca="1" si="11"/>
        <v>50</v>
      </c>
      <c r="R26" s="24">
        <v>200</v>
      </c>
      <c r="S26" s="24">
        <v>10</v>
      </c>
      <c r="T26" s="24">
        <f t="shared" ca="1" si="12"/>
        <v>304</v>
      </c>
      <c r="V26" s="26" t="s">
        <v>90</v>
      </c>
      <c r="W26" s="26"/>
      <c r="X26" s="26"/>
      <c r="Y26" s="26"/>
      <c r="Z26" s="26"/>
      <c r="AA26" s="11">
        <f ca="1">COUNTIF(C14:G1013, "&lt;1200")</f>
        <v>2663</v>
      </c>
      <c r="AB26" s="11">
        <f ca="1">AA26/3000</f>
        <v>0.88766666666666671</v>
      </c>
    </row>
    <row r="27" spans="1:28" x14ac:dyDescent="0.45">
      <c r="A27" s="11">
        <v>14</v>
      </c>
      <c r="B27" s="11">
        <f t="shared" ca="1" si="0"/>
        <v>0.91167479744472701</v>
      </c>
      <c r="C27" s="11">
        <f t="shared" ca="1" si="1"/>
        <v>1800</v>
      </c>
      <c r="D27" s="11">
        <f t="shared" ca="1" si="2"/>
        <v>0.31300082302324028</v>
      </c>
      <c r="E27" s="11">
        <f t="shared" ca="1" si="3"/>
        <v>1200</v>
      </c>
      <c r="F27" s="11">
        <f t="shared" ca="1" si="4"/>
        <v>0.92768491704491352</v>
      </c>
      <c r="G27" s="11">
        <f t="shared" ca="1" si="5"/>
        <v>1800</v>
      </c>
      <c r="H27" s="11">
        <f t="shared" ca="1" si="6"/>
        <v>1200</v>
      </c>
      <c r="I27" s="11">
        <f t="shared" ca="1" si="7"/>
        <v>0.25785648304097453</v>
      </c>
      <c r="J27" s="11">
        <f t="shared" ca="1" si="8"/>
        <v>5</v>
      </c>
      <c r="K27" s="24">
        <v>96</v>
      </c>
      <c r="L27" s="24">
        <f t="shared" ca="1" si="9"/>
        <v>50</v>
      </c>
      <c r="M27" s="24">
        <v>400</v>
      </c>
      <c r="N27" s="24">
        <v>20</v>
      </c>
      <c r="O27" s="24">
        <f t="shared" ca="1" si="10"/>
        <v>566</v>
      </c>
      <c r="P27" s="24">
        <v>45</v>
      </c>
      <c r="Q27" s="11">
        <f t="shared" ca="1" si="11"/>
        <v>50</v>
      </c>
      <c r="R27" s="24">
        <v>200</v>
      </c>
      <c r="S27" s="24">
        <v>10</v>
      </c>
      <c r="T27" s="24">
        <f t="shared" ca="1" si="12"/>
        <v>305</v>
      </c>
    </row>
    <row r="28" spans="1:28" x14ac:dyDescent="0.45">
      <c r="A28" s="11">
        <v>15</v>
      </c>
      <c r="B28" s="11">
        <f t="shared" ca="1" si="0"/>
        <v>0.51211874192995765</v>
      </c>
      <c r="C28" s="11">
        <f t="shared" ca="1" si="1"/>
        <v>1300</v>
      </c>
      <c r="D28" s="11">
        <f t="shared" ca="1" si="2"/>
        <v>0.2394702228606298</v>
      </c>
      <c r="E28" s="11">
        <f t="shared" ca="1" si="3"/>
        <v>1200</v>
      </c>
      <c r="F28" s="11">
        <f t="shared" ca="1" si="4"/>
        <v>0.64839268635168434</v>
      </c>
      <c r="G28" s="11">
        <f t="shared" ca="1" si="5"/>
        <v>1400</v>
      </c>
      <c r="H28" s="11">
        <f t="shared" ca="1" si="6"/>
        <v>1200</v>
      </c>
      <c r="I28" s="11">
        <f t="shared" ca="1" si="7"/>
        <v>0.87494910335068132</v>
      </c>
      <c r="J28" s="11">
        <f t="shared" ca="1" si="8"/>
        <v>10</v>
      </c>
      <c r="K28" s="24">
        <v>96</v>
      </c>
      <c r="L28" s="24">
        <f t="shared" ca="1" si="9"/>
        <v>100</v>
      </c>
      <c r="M28" s="24">
        <v>400</v>
      </c>
      <c r="N28" s="24">
        <v>20</v>
      </c>
      <c r="O28" s="24">
        <f t="shared" ca="1" si="10"/>
        <v>616</v>
      </c>
      <c r="P28" s="24">
        <v>46</v>
      </c>
      <c r="Q28" s="11">
        <f t="shared" ca="1" si="11"/>
        <v>100</v>
      </c>
      <c r="R28" s="24">
        <v>200</v>
      </c>
      <c r="S28" s="24">
        <v>10</v>
      </c>
      <c r="T28" s="24">
        <f t="shared" ca="1" si="12"/>
        <v>356</v>
      </c>
    </row>
    <row r="29" spans="1:28" x14ac:dyDescent="0.45">
      <c r="A29" s="11">
        <v>16</v>
      </c>
      <c r="B29" s="11">
        <f t="shared" ca="1" si="0"/>
        <v>0.7157033089840662</v>
      </c>
      <c r="C29" s="11">
        <f t="shared" ca="1" si="1"/>
        <v>1500</v>
      </c>
      <c r="D29" s="11">
        <f t="shared" ca="1" si="2"/>
        <v>0.23808157859358214</v>
      </c>
      <c r="E29" s="11">
        <f t="shared" ca="1" si="3"/>
        <v>1200</v>
      </c>
      <c r="F29" s="11">
        <f t="shared" ca="1" si="4"/>
        <v>1.7599523495114844E-2</v>
      </c>
      <c r="G29" s="11">
        <f t="shared" ca="1" si="5"/>
        <v>1000</v>
      </c>
      <c r="H29" s="11">
        <f t="shared" ca="1" si="6"/>
        <v>1000</v>
      </c>
      <c r="I29" s="11">
        <f t="shared" ca="1" si="7"/>
        <v>0.16842922530178928</v>
      </c>
      <c r="J29" s="11">
        <f t="shared" ca="1" si="8"/>
        <v>5</v>
      </c>
      <c r="K29" s="24">
        <v>96</v>
      </c>
      <c r="L29" s="24">
        <f t="shared" ca="1" si="9"/>
        <v>50</v>
      </c>
      <c r="M29" s="24">
        <v>400</v>
      </c>
      <c r="N29" s="24">
        <v>20</v>
      </c>
      <c r="O29" s="24">
        <f t="shared" ca="1" si="10"/>
        <v>566</v>
      </c>
      <c r="P29" s="24">
        <v>47</v>
      </c>
      <c r="Q29" s="11">
        <f t="shared" ca="1" si="11"/>
        <v>50</v>
      </c>
      <c r="R29" s="24">
        <v>200</v>
      </c>
      <c r="S29" s="24">
        <v>10</v>
      </c>
      <c r="T29" s="24">
        <f t="shared" ca="1" si="12"/>
        <v>307</v>
      </c>
    </row>
    <row r="30" spans="1:28" x14ac:dyDescent="0.45">
      <c r="A30" s="11">
        <v>17</v>
      </c>
      <c r="B30" s="11">
        <f t="shared" ca="1" si="0"/>
        <v>0.81474599398078018</v>
      </c>
      <c r="C30" s="11">
        <f t="shared" ca="1" si="1"/>
        <v>1500</v>
      </c>
      <c r="D30" s="11">
        <f t="shared" ca="1" si="2"/>
        <v>0.66399971632938304</v>
      </c>
      <c r="E30" s="11">
        <f t="shared" ca="1" si="3"/>
        <v>1400</v>
      </c>
      <c r="F30" s="11">
        <f t="shared" ca="1" si="4"/>
        <v>0.95709270037133976</v>
      </c>
      <c r="G30" s="11">
        <f t="shared" ca="1" si="5"/>
        <v>1900</v>
      </c>
      <c r="H30" s="11">
        <f t="shared" ca="1" si="6"/>
        <v>1400</v>
      </c>
      <c r="I30" s="11">
        <f t="shared" ca="1" si="7"/>
        <v>2.4867050664764911E-2</v>
      </c>
      <c r="J30" s="11">
        <f t="shared" ca="1" si="8"/>
        <v>5</v>
      </c>
      <c r="K30" s="24">
        <v>96</v>
      </c>
      <c r="L30" s="24">
        <f t="shared" ca="1" si="9"/>
        <v>50</v>
      </c>
      <c r="M30" s="24">
        <v>400</v>
      </c>
      <c r="N30" s="24">
        <v>20</v>
      </c>
      <c r="O30" s="24">
        <f t="shared" ca="1" si="10"/>
        <v>566</v>
      </c>
      <c r="P30" s="24">
        <v>48</v>
      </c>
      <c r="Q30" s="11">
        <f t="shared" ca="1" si="11"/>
        <v>50</v>
      </c>
      <c r="R30" s="24">
        <v>200</v>
      </c>
      <c r="S30" s="24">
        <v>10</v>
      </c>
      <c r="T30" s="24">
        <f t="shared" ca="1" si="12"/>
        <v>308</v>
      </c>
    </row>
    <row r="31" spans="1:28" x14ac:dyDescent="0.45">
      <c r="A31" s="11">
        <v>18</v>
      </c>
      <c r="B31" s="11">
        <f t="shared" ca="1" si="0"/>
        <v>0.57731043740714094</v>
      </c>
      <c r="C31" s="11">
        <f t="shared" ca="1" si="1"/>
        <v>1300</v>
      </c>
      <c r="D31" s="11">
        <f t="shared" ca="1" si="2"/>
        <v>0.54032918414816522</v>
      </c>
      <c r="E31" s="11">
        <f t="shared" ca="1" si="3"/>
        <v>1300</v>
      </c>
      <c r="F31" s="11">
        <f t="shared" ca="1" si="4"/>
        <v>0.73874653090835118</v>
      </c>
      <c r="G31" s="11">
        <f t="shared" ca="1" si="5"/>
        <v>1500</v>
      </c>
      <c r="H31" s="11">
        <f t="shared" ca="1" si="6"/>
        <v>1300</v>
      </c>
      <c r="I31" s="11">
        <f t="shared" ca="1" si="7"/>
        <v>0.88421600424791869</v>
      </c>
      <c r="J31" s="11">
        <f t="shared" ca="1" si="8"/>
        <v>10</v>
      </c>
      <c r="K31" s="24">
        <v>96</v>
      </c>
      <c r="L31" s="24">
        <f t="shared" ca="1" si="9"/>
        <v>100</v>
      </c>
      <c r="M31" s="24">
        <v>400</v>
      </c>
      <c r="N31" s="24">
        <v>20</v>
      </c>
      <c r="O31" s="24">
        <f t="shared" ca="1" si="10"/>
        <v>616</v>
      </c>
      <c r="P31" s="24">
        <v>49</v>
      </c>
      <c r="Q31" s="11">
        <f t="shared" ca="1" si="11"/>
        <v>100</v>
      </c>
      <c r="R31" s="24">
        <v>200</v>
      </c>
      <c r="S31" s="24">
        <v>10</v>
      </c>
      <c r="T31" s="24">
        <f t="shared" ca="1" si="12"/>
        <v>359</v>
      </c>
    </row>
    <row r="32" spans="1:28" x14ac:dyDescent="0.45">
      <c r="A32" s="11">
        <v>19</v>
      </c>
      <c r="B32" s="11">
        <f t="shared" ca="1" si="0"/>
        <v>0.90155254739889301</v>
      </c>
      <c r="C32" s="11">
        <f t="shared" ca="1" si="1"/>
        <v>1800</v>
      </c>
      <c r="D32" s="11">
        <f t="shared" ca="1" si="2"/>
        <v>0.20550324940348141</v>
      </c>
      <c r="E32" s="11">
        <f t="shared" ca="1" si="3"/>
        <v>1100</v>
      </c>
      <c r="F32" s="11">
        <f t="shared" ca="1" si="4"/>
        <v>0.88600216261741349</v>
      </c>
      <c r="G32" s="11">
        <f t="shared" ca="1" si="5"/>
        <v>1700</v>
      </c>
      <c r="H32" s="11">
        <f t="shared" ca="1" si="6"/>
        <v>1100</v>
      </c>
      <c r="I32" s="11">
        <f t="shared" ca="1" si="7"/>
        <v>0.97508050656783973</v>
      </c>
      <c r="J32" s="11">
        <f t="shared" ca="1" si="8"/>
        <v>15</v>
      </c>
      <c r="K32" s="24">
        <v>96</v>
      </c>
      <c r="L32" s="24">
        <f t="shared" ca="1" si="9"/>
        <v>150</v>
      </c>
      <c r="M32" s="24">
        <v>400</v>
      </c>
      <c r="N32" s="24">
        <v>20</v>
      </c>
      <c r="O32" s="24">
        <f t="shared" ca="1" si="10"/>
        <v>666</v>
      </c>
      <c r="P32" s="24">
        <v>50</v>
      </c>
      <c r="Q32" s="11">
        <f t="shared" ca="1" si="11"/>
        <v>150</v>
      </c>
      <c r="R32" s="24">
        <v>200</v>
      </c>
      <c r="S32" s="24">
        <v>10</v>
      </c>
      <c r="T32" s="24">
        <f t="shared" ca="1" si="12"/>
        <v>410</v>
      </c>
    </row>
    <row r="33" spans="1:20" x14ac:dyDescent="0.45">
      <c r="A33" s="11">
        <v>20</v>
      </c>
      <c r="B33" s="11">
        <f t="shared" ca="1" si="0"/>
        <v>0.14230365439127279</v>
      </c>
      <c r="C33" s="11">
        <f t="shared" ca="1" si="1"/>
        <v>1100</v>
      </c>
      <c r="D33" s="11">
        <f t="shared" ca="1" si="2"/>
        <v>0.14397104851793396</v>
      </c>
      <c r="E33" s="11">
        <f t="shared" ca="1" si="3"/>
        <v>1100</v>
      </c>
      <c r="F33" s="11">
        <f t="shared" ca="1" si="4"/>
        <v>0.80743574658418349</v>
      </c>
      <c r="G33" s="11">
        <f t="shared" ca="1" si="5"/>
        <v>1500</v>
      </c>
      <c r="H33" s="11">
        <f t="shared" ca="1" si="6"/>
        <v>1100</v>
      </c>
      <c r="I33" s="11">
        <f t="shared" ca="1" si="7"/>
        <v>0.99920228603841255</v>
      </c>
      <c r="J33" s="11">
        <f t="shared" ca="1" si="8"/>
        <v>15</v>
      </c>
      <c r="K33" s="24">
        <v>96</v>
      </c>
      <c r="L33" s="24">
        <f t="shared" ca="1" si="9"/>
        <v>150</v>
      </c>
      <c r="M33" s="24">
        <v>400</v>
      </c>
      <c r="N33" s="24">
        <v>20</v>
      </c>
      <c r="O33" s="24">
        <f t="shared" ca="1" si="10"/>
        <v>666</v>
      </c>
      <c r="P33" s="24">
        <v>51</v>
      </c>
      <c r="Q33" s="11">
        <f t="shared" ca="1" si="11"/>
        <v>150</v>
      </c>
      <c r="R33" s="24">
        <v>200</v>
      </c>
      <c r="S33" s="24">
        <v>10</v>
      </c>
      <c r="T33" s="24">
        <f t="shared" ca="1" si="12"/>
        <v>411</v>
      </c>
    </row>
    <row r="34" spans="1:20" x14ac:dyDescent="0.45">
      <c r="A34" s="11">
        <v>21</v>
      </c>
      <c r="B34" s="11">
        <f t="shared" ca="1" si="0"/>
        <v>0.21923771224681865</v>
      </c>
      <c r="C34" s="11">
        <f t="shared" ca="1" si="1"/>
        <v>1100</v>
      </c>
      <c r="D34" s="11">
        <f t="shared" ca="1" si="2"/>
        <v>0.4381057184999867</v>
      </c>
      <c r="E34" s="11">
        <f t="shared" ca="1" si="3"/>
        <v>1200</v>
      </c>
      <c r="F34" s="11">
        <f t="shared" ca="1" si="4"/>
        <v>0.13394835120825188</v>
      </c>
      <c r="G34" s="11">
        <f t="shared" ca="1" si="5"/>
        <v>1100</v>
      </c>
      <c r="H34" s="11">
        <f t="shared" ca="1" si="6"/>
        <v>1100</v>
      </c>
      <c r="I34" s="11">
        <f t="shared" ca="1" si="7"/>
        <v>0.32880427432191839</v>
      </c>
      <c r="J34" s="11">
        <f t="shared" ca="1" si="8"/>
        <v>5</v>
      </c>
      <c r="K34" s="24">
        <v>96</v>
      </c>
      <c r="L34" s="24">
        <f t="shared" ca="1" si="9"/>
        <v>50</v>
      </c>
      <c r="M34" s="24">
        <v>400</v>
      </c>
      <c r="N34" s="24">
        <v>20</v>
      </c>
      <c r="O34" s="24">
        <f t="shared" ca="1" si="10"/>
        <v>566</v>
      </c>
      <c r="P34" s="24">
        <v>52</v>
      </c>
      <c r="Q34" s="11">
        <f t="shared" ca="1" si="11"/>
        <v>50</v>
      </c>
      <c r="R34" s="24">
        <v>200</v>
      </c>
      <c r="S34" s="24">
        <v>10</v>
      </c>
      <c r="T34" s="24">
        <f t="shared" ca="1" si="12"/>
        <v>312</v>
      </c>
    </row>
    <row r="35" spans="1:20" x14ac:dyDescent="0.45">
      <c r="A35" s="11">
        <v>22</v>
      </c>
      <c r="B35" s="11">
        <f t="shared" ca="1" si="0"/>
        <v>0.75761793246090259</v>
      </c>
      <c r="C35" s="11">
        <f t="shared" ca="1" si="1"/>
        <v>1500</v>
      </c>
      <c r="D35" s="11">
        <f t="shared" ca="1" si="2"/>
        <v>0.97821807850560905</v>
      </c>
      <c r="E35" s="11">
        <f t="shared" ca="1" si="3"/>
        <v>1900</v>
      </c>
      <c r="F35" s="11">
        <f t="shared" ca="1" si="4"/>
        <v>0.2705490275533825</v>
      </c>
      <c r="G35" s="11">
        <f t="shared" ca="1" si="5"/>
        <v>1200</v>
      </c>
      <c r="H35" s="11">
        <f t="shared" ca="1" si="6"/>
        <v>1200</v>
      </c>
      <c r="I35" s="11">
        <f t="shared" ca="1" si="7"/>
        <v>0.65727710338291578</v>
      </c>
      <c r="J35" s="11">
        <f t="shared" ca="1" si="8"/>
        <v>10</v>
      </c>
      <c r="K35" s="24">
        <v>96</v>
      </c>
      <c r="L35" s="24">
        <f t="shared" ca="1" si="9"/>
        <v>100</v>
      </c>
      <c r="M35" s="24">
        <v>400</v>
      </c>
      <c r="N35" s="24">
        <v>20</v>
      </c>
      <c r="O35" s="24">
        <f t="shared" ca="1" si="10"/>
        <v>616</v>
      </c>
      <c r="P35" s="24">
        <v>53</v>
      </c>
      <c r="Q35" s="11">
        <f t="shared" ca="1" si="11"/>
        <v>100</v>
      </c>
      <c r="R35" s="24">
        <v>200</v>
      </c>
      <c r="S35" s="24">
        <v>10</v>
      </c>
      <c r="T35" s="24">
        <f t="shared" ca="1" si="12"/>
        <v>363</v>
      </c>
    </row>
    <row r="36" spans="1:20" x14ac:dyDescent="0.45">
      <c r="A36" s="11">
        <v>23</v>
      </c>
      <c r="B36" s="11">
        <f t="shared" ca="1" si="0"/>
        <v>0.30084001327051002</v>
      </c>
      <c r="C36" s="11">
        <f t="shared" ca="1" si="1"/>
        <v>1200</v>
      </c>
      <c r="D36" s="11">
        <f t="shared" ca="1" si="2"/>
        <v>1.2271247255242312E-2</v>
      </c>
      <c r="E36" s="11">
        <f t="shared" ca="1" si="3"/>
        <v>1000</v>
      </c>
      <c r="F36" s="11">
        <f t="shared" ca="1" si="4"/>
        <v>0.78984832807665517</v>
      </c>
      <c r="G36" s="11">
        <f t="shared" ca="1" si="5"/>
        <v>1500</v>
      </c>
      <c r="H36" s="11">
        <f t="shared" ca="1" si="6"/>
        <v>1000</v>
      </c>
      <c r="I36" s="11">
        <f t="shared" ca="1" si="7"/>
        <v>0.49411962350249194</v>
      </c>
      <c r="J36" s="11">
        <f t="shared" ca="1" si="8"/>
        <v>5</v>
      </c>
      <c r="K36" s="24">
        <v>96</v>
      </c>
      <c r="L36" s="24">
        <f t="shared" ca="1" si="9"/>
        <v>50</v>
      </c>
      <c r="M36" s="24">
        <v>400</v>
      </c>
      <c r="N36" s="24">
        <v>20</v>
      </c>
      <c r="O36" s="24">
        <f t="shared" ca="1" si="10"/>
        <v>566</v>
      </c>
      <c r="P36" s="24">
        <v>54</v>
      </c>
      <c r="Q36" s="11">
        <f t="shared" ca="1" si="11"/>
        <v>50</v>
      </c>
      <c r="R36" s="24">
        <v>200</v>
      </c>
      <c r="S36" s="24">
        <v>10</v>
      </c>
      <c r="T36" s="24">
        <f t="shared" ca="1" si="12"/>
        <v>314</v>
      </c>
    </row>
    <row r="37" spans="1:20" x14ac:dyDescent="0.45">
      <c r="A37" s="11">
        <v>24</v>
      </c>
      <c r="B37" s="11">
        <f t="shared" ca="1" si="0"/>
        <v>0.35140019309421644</v>
      </c>
      <c r="C37" s="11">
        <f t="shared" ca="1" si="1"/>
        <v>1200</v>
      </c>
      <c r="D37" s="11">
        <f t="shared" ca="1" si="2"/>
        <v>0.17168133748973702</v>
      </c>
      <c r="E37" s="11">
        <f t="shared" ca="1" si="3"/>
        <v>1100</v>
      </c>
      <c r="F37" s="11">
        <f t="shared" ca="1" si="4"/>
        <v>0.84746665892310402</v>
      </c>
      <c r="G37" s="11">
        <f t="shared" ca="1" si="5"/>
        <v>1700</v>
      </c>
      <c r="H37" s="11">
        <f t="shared" ca="1" si="6"/>
        <v>1100</v>
      </c>
      <c r="I37" s="11">
        <f t="shared" ca="1" si="7"/>
        <v>3.5868461110130756E-2</v>
      </c>
      <c r="J37" s="11">
        <f t="shared" ca="1" si="8"/>
        <v>5</v>
      </c>
      <c r="K37" s="24">
        <v>96</v>
      </c>
      <c r="L37" s="24">
        <f t="shared" ca="1" si="9"/>
        <v>50</v>
      </c>
      <c r="M37" s="24">
        <v>400</v>
      </c>
      <c r="N37" s="24">
        <v>20</v>
      </c>
      <c r="O37" s="24">
        <f t="shared" ca="1" si="10"/>
        <v>566</v>
      </c>
      <c r="P37" s="24">
        <v>55</v>
      </c>
      <c r="Q37" s="11">
        <f t="shared" ca="1" si="11"/>
        <v>50</v>
      </c>
      <c r="R37" s="24">
        <v>200</v>
      </c>
      <c r="S37" s="24">
        <v>10</v>
      </c>
      <c r="T37" s="24">
        <f t="shared" ca="1" si="12"/>
        <v>315</v>
      </c>
    </row>
    <row r="38" spans="1:20" x14ac:dyDescent="0.45">
      <c r="A38" s="11">
        <v>25</v>
      </c>
      <c r="B38" s="11">
        <f t="shared" ca="1" si="0"/>
        <v>0.73370948473326536</v>
      </c>
      <c r="C38" s="11">
        <f t="shared" ca="1" si="1"/>
        <v>1500</v>
      </c>
      <c r="D38" s="11">
        <f t="shared" ca="1" si="2"/>
        <v>0.94939893325165869</v>
      </c>
      <c r="E38" s="11">
        <f t="shared" ca="1" si="3"/>
        <v>1800</v>
      </c>
      <c r="F38" s="11">
        <f t="shared" ca="1" si="4"/>
        <v>0.33483100004519717</v>
      </c>
      <c r="G38" s="11">
        <f t="shared" ca="1" si="5"/>
        <v>1200</v>
      </c>
      <c r="H38" s="11">
        <f t="shared" ca="1" si="6"/>
        <v>1200</v>
      </c>
      <c r="I38" s="11">
        <f t="shared" ca="1" si="7"/>
        <v>0.87596770127544721</v>
      </c>
      <c r="J38" s="11">
        <f t="shared" ca="1" si="8"/>
        <v>10</v>
      </c>
      <c r="K38" s="24">
        <v>96</v>
      </c>
      <c r="L38" s="24">
        <f t="shared" ca="1" si="9"/>
        <v>100</v>
      </c>
      <c r="M38" s="24">
        <v>400</v>
      </c>
      <c r="N38" s="24">
        <v>20</v>
      </c>
      <c r="O38" s="24">
        <f t="shared" ca="1" si="10"/>
        <v>616</v>
      </c>
      <c r="P38" s="24">
        <v>56</v>
      </c>
      <c r="Q38" s="11">
        <f t="shared" ca="1" si="11"/>
        <v>100</v>
      </c>
      <c r="R38" s="24">
        <v>200</v>
      </c>
      <c r="S38" s="24">
        <v>10</v>
      </c>
      <c r="T38" s="24">
        <f t="shared" ca="1" si="12"/>
        <v>366</v>
      </c>
    </row>
    <row r="39" spans="1:20" x14ac:dyDescent="0.45">
      <c r="A39" s="11">
        <v>26</v>
      </c>
      <c r="B39" s="11">
        <f t="shared" ca="1" si="0"/>
        <v>0.25038743261398722</v>
      </c>
      <c r="C39" s="11">
        <f t="shared" ca="1" si="1"/>
        <v>1200</v>
      </c>
      <c r="D39" s="11">
        <f t="shared" ca="1" si="2"/>
        <v>0.37856263773432597</v>
      </c>
      <c r="E39" s="11">
        <f t="shared" ca="1" si="3"/>
        <v>1200</v>
      </c>
      <c r="F39" s="11">
        <f t="shared" ca="1" si="4"/>
        <v>6.0037204695716717E-2</v>
      </c>
      <c r="G39" s="11">
        <f t="shared" ca="1" si="5"/>
        <v>1000</v>
      </c>
      <c r="H39" s="11">
        <f t="shared" ca="1" si="6"/>
        <v>1000</v>
      </c>
      <c r="I39" s="11">
        <f t="shared" ca="1" si="7"/>
        <v>4.5810494118276091E-2</v>
      </c>
      <c r="J39" s="11">
        <f t="shared" ca="1" si="8"/>
        <v>5</v>
      </c>
      <c r="K39" s="24">
        <v>96</v>
      </c>
      <c r="L39" s="24">
        <f t="shared" ca="1" si="9"/>
        <v>50</v>
      </c>
      <c r="M39" s="24">
        <v>400</v>
      </c>
      <c r="N39" s="24">
        <v>20</v>
      </c>
      <c r="O39" s="24">
        <f t="shared" ca="1" si="10"/>
        <v>566</v>
      </c>
      <c r="P39" s="24">
        <v>57</v>
      </c>
      <c r="Q39" s="11">
        <f t="shared" ca="1" si="11"/>
        <v>50</v>
      </c>
      <c r="R39" s="24">
        <v>200</v>
      </c>
      <c r="S39" s="24">
        <v>10</v>
      </c>
      <c r="T39" s="24">
        <f t="shared" ca="1" si="12"/>
        <v>317</v>
      </c>
    </row>
    <row r="40" spans="1:20" x14ac:dyDescent="0.45">
      <c r="A40" s="11">
        <v>27</v>
      </c>
      <c r="B40" s="11">
        <f t="shared" ca="1" si="0"/>
        <v>0.80549915824496354</v>
      </c>
      <c r="C40" s="11">
        <f t="shared" ca="1" si="1"/>
        <v>1500</v>
      </c>
      <c r="D40" s="11">
        <f t="shared" ca="1" si="2"/>
        <v>0.50763127403255581</v>
      </c>
      <c r="E40" s="11">
        <f t="shared" ca="1" si="3"/>
        <v>1300</v>
      </c>
      <c r="F40" s="11">
        <f t="shared" ca="1" si="4"/>
        <v>0.57085058146245682</v>
      </c>
      <c r="G40" s="11">
        <f t="shared" ca="1" si="5"/>
        <v>1300</v>
      </c>
      <c r="H40" s="11">
        <f t="shared" ca="1" si="6"/>
        <v>1300</v>
      </c>
      <c r="I40" s="11">
        <f t="shared" ca="1" si="7"/>
        <v>9.5931198346784763E-2</v>
      </c>
      <c r="J40" s="11">
        <f t="shared" ca="1" si="8"/>
        <v>5</v>
      </c>
      <c r="K40" s="24">
        <v>96</v>
      </c>
      <c r="L40" s="24">
        <f t="shared" ca="1" si="9"/>
        <v>50</v>
      </c>
      <c r="M40" s="24">
        <v>400</v>
      </c>
      <c r="N40" s="24">
        <v>20</v>
      </c>
      <c r="O40" s="24">
        <f t="shared" ca="1" si="10"/>
        <v>566</v>
      </c>
      <c r="P40" s="24">
        <v>58</v>
      </c>
      <c r="Q40" s="11">
        <f t="shared" ca="1" si="11"/>
        <v>50</v>
      </c>
      <c r="R40" s="24">
        <v>200</v>
      </c>
      <c r="S40" s="24">
        <v>10</v>
      </c>
      <c r="T40" s="24">
        <f t="shared" ca="1" si="12"/>
        <v>318</v>
      </c>
    </row>
    <row r="41" spans="1:20" x14ac:dyDescent="0.45">
      <c r="A41" s="11">
        <v>28</v>
      </c>
      <c r="B41" s="11">
        <f t="shared" ca="1" si="0"/>
        <v>1.4062377328418751E-2</v>
      </c>
      <c r="C41" s="11">
        <f t="shared" ca="1" si="1"/>
        <v>1000</v>
      </c>
      <c r="D41" s="11">
        <f t="shared" ca="1" si="2"/>
        <v>0.16383631410789878</v>
      </c>
      <c r="E41" s="11">
        <f t="shared" ca="1" si="3"/>
        <v>1100</v>
      </c>
      <c r="F41" s="11">
        <f t="shared" ca="1" si="4"/>
        <v>0.42511859979869304</v>
      </c>
      <c r="G41" s="11">
        <f t="shared" ca="1" si="5"/>
        <v>1200</v>
      </c>
      <c r="H41" s="11">
        <f t="shared" ca="1" si="6"/>
        <v>1000</v>
      </c>
      <c r="I41" s="11">
        <f t="shared" ca="1" si="7"/>
        <v>0.38927832416843977</v>
      </c>
      <c r="J41" s="11">
        <f t="shared" ca="1" si="8"/>
        <v>5</v>
      </c>
      <c r="K41" s="24">
        <v>96</v>
      </c>
      <c r="L41" s="24">
        <f t="shared" ca="1" si="9"/>
        <v>50</v>
      </c>
      <c r="M41" s="24">
        <v>400</v>
      </c>
      <c r="N41" s="24">
        <v>20</v>
      </c>
      <c r="O41" s="24">
        <f t="shared" ca="1" si="10"/>
        <v>566</v>
      </c>
      <c r="P41" s="24">
        <v>59</v>
      </c>
      <c r="Q41" s="11">
        <f t="shared" ca="1" si="11"/>
        <v>50</v>
      </c>
      <c r="R41" s="24">
        <v>200</v>
      </c>
      <c r="S41" s="24">
        <v>10</v>
      </c>
      <c r="T41" s="24">
        <f t="shared" ca="1" si="12"/>
        <v>319</v>
      </c>
    </row>
    <row r="42" spans="1:20" x14ac:dyDescent="0.45">
      <c r="A42" s="11">
        <v>29</v>
      </c>
      <c r="B42" s="11">
        <f t="shared" ca="1" si="0"/>
        <v>5.2471942217801271E-2</v>
      </c>
      <c r="C42" s="11">
        <f t="shared" ca="1" si="1"/>
        <v>1000</v>
      </c>
      <c r="D42" s="11">
        <f t="shared" ca="1" si="2"/>
        <v>0.45392844943791433</v>
      </c>
      <c r="E42" s="11">
        <f t="shared" ca="1" si="3"/>
        <v>1200</v>
      </c>
      <c r="F42" s="11">
        <f t="shared" ca="1" si="4"/>
        <v>0.95489090764751261</v>
      </c>
      <c r="G42" s="11">
        <f t="shared" ca="1" si="5"/>
        <v>1900</v>
      </c>
      <c r="H42" s="11">
        <f t="shared" ca="1" si="6"/>
        <v>1000</v>
      </c>
      <c r="I42" s="11">
        <f t="shared" ca="1" si="7"/>
        <v>0.32291634418431292</v>
      </c>
      <c r="J42" s="11">
        <f t="shared" ca="1" si="8"/>
        <v>5</v>
      </c>
      <c r="K42" s="24">
        <v>96</v>
      </c>
      <c r="L42" s="24">
        <f t="shared" ca="1" si="9"/>
        <v>50</v>
      </c>
      <c r="M42" s="24">
        <v>400</v>
      </c>
      <c r="N42" s="24">
        <v>20</v>
      </c>
      <c r="O42" s="24">
        <f t="shared" ca="1" si="10"/>
        <v>566</v>
      </c>
      <c r="P42" s="24">
        <v>60</v>
      </c>
      <c r="Q42" s="11">
        <f t="shared" ca="1" si="11"/>
        <v>50</v>
      </c>
      <c r="R42" s="24">
        <v>200</v>
      </c>
      <c r="S42" s="24">
        <v>10</v>
      </c>
      <c r="T42" s="24">
        <f t="shared" ca="1" si="12"/>
        <v>320</v>
      </c>
    </row>
    <row r="43" spans="1:20" x14ac:dyDescent="0.45">
      <c r="A43" s="11">
        <v>30</v>
      </c>
      <c r="B43" s="11">
        <f t="shared" ca="1" si="0"/>
        <v>0.13698632441158476</v>
      </c>
      <c r="C43" s="11">
        <f t="shared" ca="1" si="1"/>
        <v>1100</v>
      </c>
      <c r="D43" s="11">
        <f t="shared" ca="1" si="2"/>
        <v>0.96860145900786532</v>
      </c>
      <c r="E43" s="11">
        <f t="shared" ca="1" si="3"/>
        <v>1900</v>
      </c>
      <c r="F43" s="11">
        <f t="shared" ca="1" si="4"/>
        <v>0.90492616289938022</v>
      </c>
      <c r="G43" s="11">
        <f t="shared" ca="1" si="5"/>
        <v>1800</v>
      </c>
      <c r="H43" s="11">
        <f t="shared" ca="1" si="6"/>
        <v>1100</v>
      </c>
      <c r="I43" s="11">
        <f t="shared" ca="1" si="7"/>
        <v>0.52924405596330049</v>
      </c>
      <c r="J43" s="11">
        <f t="shared" ca="1" si="8"/>
        <v>5</v>
      </c>
      <c r="K43" s="24">
        <v>96</v>
      </c>
      <c r="L43" s="24">
        <f t="shared" ca="1" si="9"/>
        <v>50</v>
      </c>
      <c r="M43" s="24">
        <v>400</v>
      </c>
      <c r="N43" s="24">
        <v>20</v>
      </c>
      <c r="O43" s="24">
        <f t="shared" ca="1" si="10"/>
        <v>566</v>
      </c>
      <c r="P43" s="24">
        <v>61</v>
      </c>
      <c r="Q43" s="11">
        <f t="shared" ca="1" si="11"/>
        <v>50</v>
      </c>
      <c r="R43" s="24">
        <v>200</v>
      </c>
      <c r="S43" s="24">
        <v>10</v>
      </c>
      <c r="T43" s="24">
        <f t="shared" ca="1" si="12"/>
        <v>321</v>
      </c>
    </row>
    <row r="44" spans="1:20" x14ac:dyDescent="0.45">
      <c r="A44" s="11">
        <v>31</v>
      </c>
      <c r="B44" s="11">
        <f t="shared" ca="1" si="0"/>
        <v>0.73802962248303217</v>
      </c>
      <c r="C44" s="11">
        <f t="shared" ca="1" si="1"/>
        <v>1500</v>
      </c>
      <c r="D44" s="11">
        <f t="shared" ca="1" si="2"/>
        <v>0.72147817059637431</v>
      </c>
      <c r="E44" s="11">
        <f t="shared" ca="1" si="3"/>
        <v>1500</v>
      </c>
      <c r="F44" s="11">
        <f t="shared" ca="1" si="4"/>
        <v>0.17960094190636711</v>
      </c>
      <c r="G44" s="11">
        <f t="shared" ca="1" si="5"/>
        <v>1100</v>
      </c>
      <c r="H44" s="11">
        <f t="shared" ca="1" si="6"/>
        <v>1100</v>
      </c>
      <c r="I44" s="11">
        <f t="shared" ca="1" si="7"/>
        <v>5.2748738396778849E-2</v>
      </c>
      <c r="J44" s="11">
        <f t="shared" ca="1" si="8"/>
        <v>5</v>
      </c>
      <c r="K44" s="24">
        <v>96</v>
      </c>
      <c r="L44" s="24">
        <f t="shared" ca="1" si="9"/>
        <v>50</v>
      </c>
      <c r="M44" s="24">
        <v>400</v>
      </c>
      <c r="N44" s="24">
        <v>20</v>
      </c>
      <c r="O44" s="24">
        <f t="shared" ca="1" si="10"/>
        <v>566</v>
      </c>
      <c r="P44" s="24">
        <v>62</v>
      </c>
      <c r="Q44" s="11">
        <f t="shared" ca="1" si="11"/>
        <v>50</v>
      </c>
      <c r="R44" s="24">
        <v>200</v>
      </c>
      <c r="S44" s="24">
        <v>10</v>
      </c>
      <c r="T44" s="24">
        <f t="shared" ca="1" si="12"/>
        <v>322</v>
      </c>
    </row>
    <row r="45" spans="1:20" x14ac:dyDescent="0.45">
      <c r="A45" s="11">
        <v>32</v>
      </c>
      <c r="B45" s="11">
        <f t="shared" ca="1" si="0"/>
        <v>0.54178902735410617</v>
      </c>
      <c r="C45" s="11">
        <f t="shared" ca="1" si="1"/>
        <v>1300</v>
      </c>
      <c r="D45" s="11">
        <f t="shared" ca="1" si="2"/>
        <v>0.45239921256068416</v>
      </c>
      <c r="E45" s="11">
        <f t="shared" ca="1" si="3"/>
        <v>1200</v>
      </c>
      <c r="F45" s="11">
        <f t="shared" ca="1" si="4"/>
        <v>1.6244893289013573E-3</v>
      </c>
      <c r="G45" s="11">
        <f t="shared" ca="1" si="5"/>
        <v>1000</v>
      </c>
      <c r="H45" s="11">
        <f t="shared" ca="1" si="6"/>
        <v>1000</v>
      </c>
      <c r="I45" s="11">
        <f t="shared" ca="1" si="7"/>
        <v>0.74440937272302243</v>
      </c>
      <c r="J45" s="11">
        <f t="shared" ca="1" si="8"/>
        <v>10</v>
      </c>
      <c r="K45" s="24">
        <v>96</v>
      </c>
      <c r="L45" s="24">
        <f t="shared" ca="1" si="9"/>
        <v>100</v>
      </c>
      <c r="M45" s="24">
        <v>400</v>
      </c>
      <c r="N45" s="24">
        <v>20</v>
      </c>
      <c r="O45" s="24">
        <f t="shared" ca="1" si="10"/>
        <v>616</v>
      </c>
      <c r="P45" s="24">
        <v>63</v>
      </c>
      <c r="Q45" s="11">
        <f t="shared" ca="1" si="11"/>
        <v>100</v>
      </c>
      <c r="R45" s="24">
        <v>200</v>
      </c>
      <c r="S45" s="24">
        <v>10</v>
      </c>
      <c r="T45" s="24">
        <f t="shared" ca="1" si="12"/>
        <v>373</v>
      </c>
    </row>
    <row r="46" spans="1:20" x14ac:dyDescent="0.45">
      <c r="A46" s="11">
        <v>33</v>
      </c>
      <c r="B46" s="11">
        <f t="shared" ca="1" si="0"/>
        <v>0.83620102127472684</v>
      </c>
      <c r="C46" s="11">
        <f t="shared" ca="1" si="1"/>
        <v>1600</v>
      </c>
      <c r="D46" s="11">
        <f t="shared" ca="1" si="2"/>
        <v>0.4579138517265654</v>
      </c>
      <c r="E46" s="11">
        <f t="shared" ca="1" si="3"/>
        <v>1200</v>
      </c>
      <c r="F46" s="11">
        <f t="shared" ca="1" si="4"/>
        <v>0.62738427038745537</v>
      </c>
      <c r="G46" s="11">
        <f t="shared" ca="1" si="5"/>
        <v>1400</v>
      </c>
      <c r="H46" s="11">
        <f t="shared" ca="1" si="6"/>
        <v>1200</v>
      </c>
      <c r="I46" s="11">
        <f t="shared" ca="1" si="7"/>
        <v>0.8118041960335628</v>
      </c>
      <c r="J46" s="11">
        <f t="shared" ca="1" si="8"/>
        <v>10</v>
      </c>
      <c r="K46" s="24">
        <v>96</v>
      </c>
      <c r="L46" s="24">
        <f t="shared" ca="1" si="9"/>
        <v>100</v>
      </c>
      <c r="M46" s="24">
        <v>400</v>
      </c>
      <c r="N46" s="24">
        <v>20</v>
      </c>
      <c r="O46" s="24">
        <f t="shared" ca="1" si="10"/>
        <v>616</v>
      </c>
      <c r="P46" s="24">
        <v>64</v>
      </c>
      <c r="Q46" s="11">
        <f t="shared" ca="1" si="11"/>
        <v>100</v>
      </c>
      <c r="R46" s="24">
        <v>200</v>
      </c>
      <c r="S46" s="24">
        <v>10</v>
      </c>
      <c r="T46" s="24">
        <f t="shared" ca="1" si="12"/>
        <v>374</v>
      </c>
    </row>
    <row r="47" spans="1:20" x14ac:dyDescent="0.45">
      <c r="A47" s="11">
        <v>34</v>
      </c>
      <c r="B47" s="11">
        <f t="shared" ca="1" si="0"/>
        <v>0.4938804579950542</v>
      </c>
      <c r="C47" s="11">
        <f t="shared" ca="1" si="1"/>
        <v>1300</v>
      </c>
      <c r="D47" s="11">
        <f t="shared" ca="1" si="2"/>
        <v>5.5417318885238154E-2</v>
      </c>
      <c r="E47" s="11">
        <f t="shared" ca="1" si="3"/>
        <v>1000</v>
      </c>
      <c r="F47" s="11">
        <f t="shared" ca="1" si="4"/>
        <v>0.74663455601559936</v>
      </c>
      <c r="G47" s="11">
        <f t="shared" ca="1" si="5"/>
        <v>1500</v>
      </c>
      <c r="H47" s="11">
        <f t="shared" ca="1" si="6"/>
        <v>1000</v>
      </c>
      <c r="I47" s="11">
        <f t="shared" ca="1" si="7"/>
        <v>2.863114321165261E-3</v>
      </c>
      <c r="J47" s="11">
        <f t="shared" ca="1" si="8"/>
        <v>5</v>
      </c>
      <c r="K47" s="24">
        <v>96</v>
      </c>
      <c r="L47" s="24">
        <f t="shared" ca="1" si="9"/>
        <v>50</v>
      </c>
      <c r="M47" s="24">
        <v>400</v>
      </c>
      <c r="N47" s="24">
        <v>20</v>
      </c>
      <c r="O47" s="24">
        <f t="shared" ca="1" si="10"/>
        <v>566</v>
      </c>
      <c r="P47" s="24">
        <v>65</v>
      </c>
      <c r="Q47" s="11">
        <f t="shared" ca="1" si="11"/>
        <v>50</v>
      </c>
      <c r="R47" s="24">
        <v>200</v>
      </c>
      <c r="S47" s="24">
        <v>10</v>
      </c>
      <c r="T47" s="24">
        <f t="shared" ca="1" si="12"/>
        <v>325</v>
      </c>
    </row>
    <row r="48" spans="1:20" x14ac:dyDescent="0.45">
      <c r="A48" s="11">
        <v>35</v>
      </c>
      <c r="B48" s="11">
        <f t="shared" ca="1" si="0"/>
        <v>0.29002234212324773</v>
      </c>
      <c r="C48" s="11">
        <f t="shared" ca="1" si="1"/>
        <v>1200</v>
      </c>
      <c r="D48" s="11">
        <f t="shared" ca="1" si="2"/>
        <v>0.93790319739673489</v>
      </c>
      <c r="E48" s="11">
        <f t="shared" ca="1" si="3"/>
        <v>1800</v>
      </c>
      <c r="F48" s="11">
        <f t="shared" ca="1" si="4"/>
        <v>0.29559068533687238</v>
      </c>
      <c r="G48" s="11">
        <f t="shared" ca="1" si="5"/>
        <v>1200</v>
      </c>
      <c r="H48" s="11">
        <f t="shared" ca="1" si="6"/>
        <v>1200</v>
      </c>
      <c r="I48" s="11">
        <f t="shared" ca="1" si="7"/>
        <v>0.83745087707859933</v>
      </c>
      <c r="J48" s="11">
        <f t="shared" ca="1" si="8"/>
        <v>10</v>
      </c>
      <c r="K48" s="24">
        <v>96</v>
      </c>
      <c r="L48" s="24">
        <f t="shared" ca="1" si="9"/>
        <v>100</v>
      </c>
      <c r="M48" s="24">
        <v>400</v>
      </c>
      <c r="N48" s="24">
        <v>20</v>
      </c>
      <c r="O48" s="24">
        <f t="shared" ca="1" si="10"/>
        <v>616</v>
      </c>
      <c r="P48" s="24">
        <v>66</v>
      </c>
      <c r="Q48" s="11">
        <f t="shared" ca="1" si="11"/>
        <v>100</v>
      </c>
      <c r="R48" s="24">
        <v>200</v>
      </c>
      <c r="S48" s="24">
        <v>10</v>
      </c>
      <c r="T48" s="24">
        <f t="shared" ca="1" si="12"/>
        <v>376</v>
      </c>
    </row>
    <row r="49" spans="1:20" x14ac:dyDescent="0.45">
      <c r="A49" s="11">
        <v>36</v>
      </c>
      <c r="B49" s="11">
        <f t="shared" ca="1" si="0"/>
        <v>0.61074388075994901</v>
      </c>
      <c r="C49" s="11">
        <f t="shared" ca="1" si="1"/>
        <v>1400</v>
      </c>
      <c r="D49" s="11">
        <f t="shared" ca="1" si="2"/>
        <v>0.10293808044342423</v>
      </c>
      <c r="E49" s="11">
        <f t="shared" ca="1" si="3"/>
        <v>1100</v>
      </c>
      <c r="F49" s="11">
        <f t="shared" ca="1" si="4"/>
        <v>7.8108816812583748E-2</v>
      </c>
      <c r="G49" s="11">
        <f t="shared" ca="1" si="5"/>
        <v>1000</v>
      </c>
      <c r="H49" s="11">
        <f t="shared" ca="1" si="6"/>
        <v>1000</v>
      </c>
      <c r="I49" s="11">
        <f t="shared" ca="1" si="7"/>
        <v>0.61540140801865983</v>
      </c>
      <c r="J49" s="11">
        <f t="shared" ca="1" si="8"/>
        <v>10</v>
      </c>
      <c r="K49" s="24">
        <v>96</v>
      </c>
      <c r="L49" s="24">
        <f t="shared" ca="1" si="9"/>
        <v>100</v>
      </c>
      <c r="M49" s="24">
        <v>400</v>
      </c>
      <c r="N49" s="24">
        <v>20</v>
      </c>
      <c r="O49" s="24">
        <f t="shared" ca="1" si="10"/>
        <v>616</v>
      </c>
      <c r="P49" s="24">
        <v>67</v>
      </c>
      <c r="Q49" s="11">
        <f t="shared" ca="1" si="11"/>
        <v>100</v>
      </c>
      <c r="R49" s="24">
        <v>200</v>
      </c>
      <c r="S49" s="24">
        <v>10</v>
      </c>
      <c r="T49" s="24">
        <f t="shared" ca="1" si="12"/>
        <v>377</v>
      </c>
    </row>
    <row r="50" spans="1:20" x14ac:dyDescent="0.45">
      <c r="A50" s="11">
        <v>37</v>
      </c>
      <c r="B50" s="11">
        <f t="shared" ca="1" si="0"/>
        <v>0.16227724264890941</v>
      </c>
      <c r="C50" s="11">
        <f t="shared" ca="1" si="1"/>
        <v>1100</v>
      </c>
      <c r="D50" s="11">
        <f t="shared" ca="1" si="2"/>
        <v>0.31283511843239131</v>
      </c>
      <c r="E50" s="11">
        <f t="shared" ca="1" si="3"/>
        <v>1200</v>
      </c>
      <c r="F50" s="11">
        <f t="shared" ca="1" si="4"/>
        <v>0.72917617149060154</v>
      </c>
      <c r="G50" s="11">
        <f t="shared" ca="1" si="5"/>
        <v>1500</v>
      </c>
      <c r="H50" s="11">
        <f t="shared" ca="1" si="6"/>
        <v>1100</v>
      </c>
      <c r="I50" s="11">
        <f t="shared" ca="1" si="7"/>
        <v>0.21031766558743492</v>
      </c>
      <c r="J50" s="11">
        <f t="shared" ca="1" si="8"/>
        <v>5</v>
      </c>
      <c r="K50" s="24">
        <v>96</v>
      </c>
      <c r="L50" s="24">
        <f t="shared" ca="1" si="9"/>
        <v>50</v>
      </c>
      <c r="M50" s="24">
        <v>400</v>
      </c>
      <c r="N50" s="24">
        <v>20</v>
      </c>
      <c r="O50" s="24">
        <f t="shared" ca="1" si="10"/>
        <v>566</v>
      </c>
      <c r="P50" s="24">
        <v>68</v>
      </c>
      <c r="Q50" s="11">
        <f t="shared" ca="1" si="11"/>
        <v>50</v>
      </c>
      <c r="R50" s="24">
        <v>200</v>
      </c>
      <c r="S50" s="24">
        <v>10</v>
      </c>
      <c r="T50" s="24">
        <f t="shared" ca="1" si="12"/>
        <v>328</v>
      </c>
    </row>
    <row r="51" spans="1:20" x14ac:dyDescent="0.45">
      <c r="A51" s="11">
        <v>38</v>
      </c>
      <c r="B51" s="11">
        <f t="shared" ca="1" si="0"/>
        <v>0.84205243184548884</v>
      </c>
      <c r="C51" s="11">
        <f t="shared" ca="1" si="1"/>
        <v>1700</v>
      </c>
      <c r="D51" s="11">
        <f t="shared" ca="1" si="2"/>
        <v>0.17242253387767315</v>
      </c>
      <c r="E51" s="11">
        <f t="shared" ca="1" si="3"/>
        <v>1100</v>
      </c>
      <c r="F51" s="11">
        <f t="shared" ca="1" si="4"/>
        <v>0.2772056364950547</v>
      </c>
      <c r="G51" s="11">
        <f t="shared" ca="1" si="5"/>
        <v>1200</v>
      </c>
      <c r="H51" s="11">
        <f t="shared" ca="1" si="6"/>
        <v>1100</v>
      </c>
      <c r="I51" s="11">
        <f t="shared" ca="1" si="7"/>
        <v>0.61595975546118575</v>
      </c>
      <c r="J51" s="11">
        <f t="shared" ca="1" si="8"/>
        <v>10</v>
      </c>
      <c r="K51" s="24">
        <v>96</v>
      </c>
      <c r="L51" s="24">
        <f t="shared" ca="1" si="9"/>
        <v>100</v>
      </c>
      <c r="M51" s="24">
        <v>400</v>
      </c>
      <c r="N51" s="24">
        <v>20</v>
      </c>
      <c r="O51" s="24">
        <f t="shared" ca="1" si="10"/>
        <v>616</v>
      </c>
      <c r="P51" s="24">
        <v>69</v>
      </c>
      <c r="Q51" s="11">
        <f t="shared" ca="1" si="11"/>
        <v>100</v>
      </c>
      <c r="R51" s="24">
        <v>200</v>
      </c>
      <c r="S51" s="24">
        <v>10</v>
      </c>
      <c r="T51" s="24">
        <f t="shared" ca="1" si="12"/>
        <v>379</v>
      </c>
    </row>
    <row r="52" spans="1:20" x14ac:dyDescent="0.45">
      <c r="A52" s="11">
        <v>39</v>
      </c>
      <c r="B52" s="11">
        <f t="shared" ca="1" si="0"/>
        <v>0.188726607805209</v>
      </c>
      <c r="C52" s="11">
        <f t="shared" ca="1" si="1"/>
        <v>1100</v>
      </c>
      <c r="D52" s="11">
        <f t="shared" ca="1" si="2"/>
        <v>0.36479096313025283</v>
      </c>
      <c r="E52" s="11">
        <f t="shared" ca="1" si="3"/>
        <v>1200</v>
      </c>
      <c r="F52" s="11">
        <f t="shared" ca="1" si="4"/>
        <v>0.10275880729979991</v>
      </c>
      <c r="G52" s="11">
        <f t="shared" ca="1" si="5"/>
        <v>1100</v>
      </c>
      <c r="H52" s="11">
        <f t="shared" ca="1" si="6"/>
        <v>1100</v>
      </c>
      <c r="I52" s="11">
        <f t="shared" ca="1" si="7"/>
        <v>0.29656629619410624</v>
      </c>
      <c r="J52" s="11">
        <f t="shared" ca="1" si="8"/>
        <v>5</v>
      </c>
      <c r="K52" s="24">
        <v>96</v>
      </c>
      <c r="L52" s="24">
        <f t="shared" ca="1" si="9"/>
        <v>50</v>
      </c>
      <c r="M52" s="24">
        <v>400</v>
      </c>
      <c r="N52" s="24">
        <v>20</v>
      </c>
      <c r="O52" s="24">
        <f t="shared" ca="1" si="10"/>
        <v>566</v>
      </c>
      <c r="P52" s="24">
        <v>70</v>
      </c>
      <c r="Q52" s="11">
        <f t="shared" ca="1" si="11"/>
        <v>50</v>
      </c>
      <c r="R52" s="24">
        <v>200</v>
      </c>
      <c r="S52" s="24">
        <v>10</v>
      </c>
      <c r="T52" s="24">
        <f t="shared" ca="1" si="12"/>
        <v>330</v>
      </c>
    </row>
    <row r="53" spans="1:20" x14ac:dyDescent="0.45">
      <c r="A53" s="11">
        <v>40</v>
      </c>
      <c r="B53" s="11">
        <f t="shared" ca="1" si="0"/>
        <v>0.40126439761106492</v>
      </c>
      <c r="C53" s="11">
        <f t="shared" ca="1" si="1"/>
        <v>1200</v>
      </c>
      <c r="D53" s="11">
        <f t="shared" ca="1" si="2"/>
        <v>0.57960706030915676</v>
      </c>
      <c r="E53" s="11">
        <f t="shared" ca="1" si="3"/>
        <v>1300</v>
      </c>
      <c r="F53" s="11">
        <f t="shared" ca="1" si="4"/>
        <v>0.32132050417143632</v>
      </c>
      <c r="G53" s="11">
        <f t="shared" ca="1" si="5"/>
        <v>1200</v>
      </c>
      <c r="H53" s="11">
        <f t="shared" ca="1" si="6"/>
        <v>1200</v>
      </c>
      <c r="I53" s="11">
        <f t="shared" ca="1" si="7"/>
        <v>0.83771724152334248</v>
      </c>
      <c r="J53" s="11">
        <f t="shared" ca="1" si="8"/>
        <v>10</v>
      </c>
      <c r="K53" s="24">
        <v>96</v>
      </c>
      <c r="L53" s="24">
        <f t="shared" ca="1" si="9"/>
        <v>100</v>
      </c>
      <c r="M53" s="24">
        <v>400</v>
      </c>
      <c r="N53" s="24">
        <v>20</v>
      </c>
      <c r="O53" s="24">
        <f t="shared" ca="1" si="10"/>
        <v>616</v>
      </c>
      <c r="P53" s="24">
        <v>71</v>
      </c>
      <c r="Q53" s="11">
        <f t="shared" ca="1" si="11"/>
        <v>100</v>
      </c>
      <c r="R53" s="24">
        <v>200</v>
      </c>
      <c r="S53" s="24">
        <v>10</v>
      </c>
      <c r="T53" s="24">
        <f t="shared" ca="1" si="12"/>
        <v>381</v>
      </c>
    </row>
    <row r="54" spans="1:20" x14ac:dyDescent="0.45">
      <c r="A54" s="11">
        <v>41</v>
      </c>
      <c r="B54" s="11">
        <f t="shared" ca="1" si="0"/>
        <v>0.70917083386474766</v>
      </c>
      <c r="C54" s="11">
        <f t="shared" ca="1" si="1"/>
        <v>1500</v>
      </c>
      <c r="D54" s="11">
        <f t="shared" ca="1" si="2"/>
        <v>5.092665007521846E-2</v>
      </c>
      <c r="E54" s="11">
        <f t="shared" ca="1" si="3"/>
        <v>1000</v>
      </c>
      <c r="F54" s="11">
        <f t="shared" ca="1" si="4"/>
        <v>0.12994076175565583</v>
      </c>
      <c r="G54" s="11">
        <f t="shared" ca="1" si="5"/>
        <v>1100</v>
      </c>
      <c r="H54" s="11">
        <f t="shared" ca="1" si="6"/>
        <v>1000</v>
      </c>
      <c r="I54" s="11">
        <f t="shared" ca="1" si="7"/>
        <v>0.41222965781318732</v>
      </c>
      <c r="J54" s="11">
        <f t="shared" ca="1" si="8"/>
        <v>5</v>
      </c>
      <c r="K54" s="24">
        <v>96</v>
      </c>
      <c r="L54" s="24">
        <f t="shared" ca="1" si="9"/>
        <v>50</v>
      </c>
      <c r="M54" s="24">
        <v>400</v>
      </c>
      <c r="N54" s="24">
        <v>20</v>
      </c>
      <c r="O54" s="24">
        <f t="shared" ca="1" si="10"/>
        <v>566</v>
      </c>
      <c r="P54" s="24">
        <v>72</v>
      </c>
      <c r="Q54" s="11">
        <f t="shared" ca="1" si="11"/>
        <v>50</v>
      </c>
      <c r="R54" s="24">
        <v>200</v>
      </c>
      <c r="S54" s="24">
        <v>10</v>
      </c>
      <c r="T54" s="24">
        <f t="shared" ca="1" si="12"/>
        <v>332</v>
      </c>
    </row>
    <row r="55" spans="1:20" x14ac:dyDescent="0.45">
      <c r="A55" s="11">
        <v>42</v>
      </c>
      <c r="B55" s="11">
        <f t="shared" ca="1" si="0"/>
        <v>0.55284427248824819</v>
      </c>
      <c r="C55" s="11">
        <f t="shared" ca="1" si="1"/>
        <v>1300</v>
      </c>
      <c r="D55" s="11">
        <f t="shared" ca="1" si="2"/>
        <v>0.60600331457198908</v>
      </c>
      <c r="E55" s="11">
        <f t="shared" ca="1" si="3"/>
        <v>1300</v>
      </c>
      <c r="F55" s="11">
        <f t="shared" ca="1" si="4"/>
        <v>0.49133332131389496</v>
      </c>
      <c r="G55" s="11">
        <f t="shared" ca="1" si="5"/>
        <v>1300</v>
      </c>
      <c r="H55" s="11">
        <f t="shared" ca="1" si="6"/>
        <v>1300</v>
      </c>
      <c r="I55" s="11">
        <f t="shared" ca="1" si="7"/>
        <v>0.12150399357427133</v>
      </c>
      <c r="J55" s="11">
        <f t="shared" ca="1" si="8"/>
        <v>5</v>
      </c>
      <c r="K55" s="24">
        <v>96</v>
      </c>
      <c r="L55" s="24">
        <f t="shared" ca="1" si="9"/>
        <v>50</v>
      </c>
      <c r="M55" s="24">
        <v>400</v>
      </c>
      <c r="N55" s="24">
        <v>20</v>
      </c>
      <c r="O55" s="24">
        <f t="shared" ca="1" si="10"/>
        <v>566</v>
      </c>
      <c r="P55" s="24">
        <v>73</v>
      </c>
      <c r="Q55" s="11">
        <f t="shared" ca="1" si="11"/>
        <v>50</v>
      </c>
      <c r="R55" s="24">
        <v>200</v>
      </c>
      <c r="S55" s="24">
        <v>10</v>
      </c>
      <c r="T55" s="24">
        <f t="shared" ca="1" si="12"/>
        <v>333</v>
      </c>
    </row>
    <row r="56" spans="1:20" x14ac:dyDescent="0.45">
      <c r="A56" s="11">
        <v>43</v>
      </c>
      <c r="B56" s="11">
        <f t="shared" ca="1" si="0"/>
        <v>0.49098211449616314</v>
      </c>
      <c r="C56" s="11">
        <f t="shared" ca="1" si="1"/>
        <v>1300</v>
      </c>
      <c r="D56" s="11">
        <f t="shared" ca="1" si="2"/>
        <v>0.94331457909859062</v>
      </c>
      <c r="E56" s="11">
        <f t="shared" ca="1" si="3"/>
        <v>1800</v>
      </c>
      <c r="F56" s="11">
        <f t="shared" ca="1" si="4"/>
        <v>0.52059059206596814</v>
      </c>
      <c r="G56" s="11">
        <f t="shared" ca="1" si="5"/>
        <v>1300</v>
      </c>
      <c r="H56" s="11">
        <f t="shared" ca="1" si="6"/>
        <v>1300</v>
      </c>
      <c r="I56" s="11">
        <f t="shared" ca="1" si="7"/>
        <v>0.13547543138652085</v>
      </c>
      <c r="J56" s="11">
        <f t="shared" ca="1" si="8"/>
        <v>5</v>
      </c>
      <c r="K56" s="24">
        <v>96</v>
      </c>
      <c r="L56" s="24">
        <f t="shared" ca="1" si="9"/>
        <v>50</v>
      </c>
      <c r="M56" s="24">
        <v>400</v>
      </c>
      <c r="N56" s="24">
        <v>20</v>
      </c>
      <c r="O56" s="24">
        <f t="shared" ca="1" si="10"/>
        <v>566</v>
      </c>
      <c r="P56" s="24">
        <v>74</v>
      </c>
      <c r="Q56" s="11">
        <f t="shared" ca="1" si="11"/>
        <v>50</v>
      </c>
      <c r="R56" s="24">
        <v>200</v>
      </c>
      <c r="S56" s="24">
        <v>10</v>
      </c>
      <c r="T56" s="24">
        <f t="shared" ca="1" si="12"/>
        <v>334</v>
      </c>
    </row>
    <row r="57" spans="1:20" x14ac:dyDescent="0.45">
      <c r="A57" s="11">
        <v>44</v>
      </c>
      <c r="B57" s="11">
        <f t="shared" ca="1" si="0"/>
        <v>0.97253003005753569</v>
      </c>
      <c r="C57" s="11">
        <f t="shared" ca="1" si="1"/>
        <v>1900</v>
      </c>
      <c r="D57" s="11">
        <f t="shared" ca="1" si="2"/>
        <v>0.79099184274005041</v>
      </c>
      <c r="E57" s="11">
        <f t="shared" ca="1" si="3"/>
        <v>1500</v>
      </c>
      <c r="F57" s="11">
        <f t="shared" ca="1" si="4"/>
        <v>0.98355757329756377</v>
      </c>
      <c r="G57" s="11">
        <f t="shared" ca="1" si="5"/>
        <v>1900</v>
      </c>
      <c r="H57" s="11">
        <f t="shared" ca="1" si="6"/>
        <v>1500</v>
      </c>
      <c r="I57" s="11">
        <f t="shared" ca="1" si="7"/>
        <v>0.9815060991494361</v>
      </c>
      <c r="J57" s="11">
        <f t="shared" ca="1" si="8"/>
        <v>15</v>
      </c>
      <c r="K57" s="24">
        <v>96</v>
      </c>
      <c r="L57" s="24">
        <f t="shared" ca="1" si="9"/>
        <v>150</v>
      </c>
      <c r="M57" s="24">
        <v>400</v>
      </c>
      <c r="N57" s="24">
        <v>20</v>
      </c>
      <c r="O57" s="24">
        <f t="shared" ca="1" si="10"/>
        <v>666</v>
      </c>
      <c r="P57" s="24">
        <v>75</v>
      </c>
      <c r="Q57" s="11">
        <f t="shared" ca="1" si="11"/>
        <v>150</v>
      </c>
      <c r="R57" s="24">
        <v>200</v>
      </c>
      <c r="S57" s="24">
        <v>10</v>
      </c>
      <c r="T57" s="24">
        <f t="shared" ca="1" si="12"/>
        <v>435</v>
      </c>
    </row>
    <row r="58" spans="1:20" x14ac:dyDescent="0.45">
      <c r="A58" s="11">
        <v>45</v>
      </c>
      <c r="B58" s="11">
        <f t="shared" ca="1" si="0"/>
        <v>0.57716547182408418</v>
      </c>
      <c r="C58" s="11">
        <f t="shared" ca="1" si="1"/>
        <v>1300</v>
      </c>
      <c r="D58" s="11">
        <f t="shared" ca="1" si="2"/>
        <v>0.62967499595860799</v>
      </c>
      <c r="E58" s="11">
        <f t="shared" ca="1" si="3"/>
        <v>1400</v>
      </c>
      <c r="F58" s="11">
        <f t="shared" ca="1" si="4"/>
        <v>0.66899503110690706</v>
      </c>
      <c r="G58" s="11">
        <f t="shared" ca="1" si="5"/>
        <v>1400</v>
      </c>
      <c r="H58" s="11">
        <f t="shared" ca="1" si="6"/>
        <v>1300</v>
      </c>
      <c r="I58" s="11">
        <f t="shared" ca="1" si="7"/>
        <v>0.83781597589206669</v>
      </c>
      <c r="J58" s="11">
        <f t="shared" ca="1" si="8"/>
        <v>10</v>
      </c>
      <c r="K58" s="24">
        <v>96</v>
      </c>
      <c r="L58" s="24">
        <f t="shared" ca="1" si="9"/>
        <v>100</v>
      </c>
      <c r="M58" s="24">
        <v>400</v>
      </c>
      <c r="N58" s="24">
        <v>20</v>
      </c>
      <c r="O58" s="24">
        <f t="shared" ca="1" si="10"/>
        <v>616</v>
      </c>
      <c r="P58" s="24">
        <v>76</v>
      </c>
      <c r="Q58" s="11">
        <f t="shared" ca="1" si="11"/>
        <v>100</v>
      </c>
      <c r="R58" s="24">
        <v>200</v>
      </c>
      <c r="S58" s="24">
        <v>10</v>
      </c>
      <c r="T58" s="24">
        <f t="shared" ca="1" si="12"/>
        <v>386</v>
      </c>
    </row>
    <row r="59" spans="1:20" x14ac:dyDescent="0.45">
      <c r="A59" s="11">
        <v>46</v>
      </c>
      <c r="B59" s="11">
        <f t="shared" ca="1" si="0"/>
        <v>0.3666721621495953</v>
      </c>
      <c r="C59" s="11">
        <f t="shared" ca="1" si="1"/>
        <v>1200</v>
      </c>
      <c r="D59" s="11">
        <f t="shared" ca="1" si="2"/>
        <v>0.36821269260545142</v>
      </c>
      <c r="E59" s="11">
        <f t="shared" ca="1" si="3"/>
        <v>1200</v>
      </c>
      <c r="F59" s="11">
        <f t="shared" ca="1" si="4"/>
        <v>0.21691978554425217</v>
      </c>
      <c r="G59" s="11">
        <f t="shared" ca="1" si="5"/>
        <v>1100</v>
      </c>
      <c r="H59" s="11">
        <f t="shared" ca="1" si="6"/>
        <v>1100</v>
      </c>
      <c r="I59" s="11">
        <f t="shared" ca="1" si="7"/>
        <v>0.20264441983873283</v>
      </c>
      <c r="J59" s="11">
        <f t="shared" ca="1" si="8"/>
        <v>5</v>
      </c>
      <c r="K59" s="24">
        <v>96</v>
      </c>
      <c r="L59" s="24">
        <f t="shared" ca="1" si="9"/>
        <v>50</v>
      </c>
      <c r="M59" s="24">
        <v>400</v>
      </c>
      <c r="N59" s="24">
        <v>20</v>
      </c>
      <c r="O59" s="24">
        <f t="shared" ca="1" si="10"/>
        <v>566</v>
      </c>
      <c r="P59" s="24">
        <v>77</v>
      </c>
      <c r="Q59" s="11">
        <f t="shared" ca="1" si="11"/>
        <v>50</v>
      </c>
      <c r="R59" s="24">
        <v>200</v>
      </c>
      <c r="S59" s="24">
        <v>10</v>
      </c>
      <c r="T59" s="24">
        <f t="shared" ca="1" si="12"/>
        <v>337</v>
      </c>
    </row>
    <row r="60" spans="1:20" x14ac:dyDescent="0.45">
      <c r="A60" s="11">
        <v>47</v>
      </c>
      <c r="B60" s="11">
        <f t="shared" ca="1" si="0"/>
        <v>0.17295950591745257</v>
      </c>
      <c r="C60" s="11">
        <f t="shared" ca="1" si="1"/>
        <v>1100</v>
      </c>
      <c r="D60" s="11">
        <f t="shared" ca="1" si="2"/>
        <v>0.61519594605084282</v>
      </c>
      <c r="E60" s="11">
        <f t="shared" ca="1" si="3"/>
        <v>1400</v>
      </c>
      <c r="F60" s="11">
        <f t="shared" ca="1" si="4"/>
        <v>0.59299889680722273</v>
      </c>
      <c r="G60" s="11">
        <f t="shared" ca="1" si="5"/>
        <v>1300</v>
      </c>
      <c r="H60" s="11">
        <f t="shared" ca="1" si="6"/>
        <v>1100</v>
      </c>
      <c r="I60" s="11">
        <f t="shared" ca="1" si="7"/>
        <v>0.34120446359704792</v>
      </c>
      <c r="J60" s="11">
        <f t="shared" ca="1" si="8"/>
        <v>5</v>
      </c>
      <c r="K60" s="24">
        <v>96</v>
      </c>
      <c r="L60" s="24">
        <f t="shared" ca="1" si="9"/>
        <v>50</v>
      </c>
      <c r="M60" s="24">
        <v>400</v>
      </c>
      <c r="N60" s="24">
        <v>20</v>
      </c>
      <c r="O60" s="24">
        <f t="shared" ca="1" si="10"/>
        <v>566</v>
      </c>
      <c r="P60" s="24">
        <v>78</v>
      </c>
      <c r="Q60" s="11">
        <f t="shared" ca="1" si="11"/>
        <v>50</v>
      </c>
      <c r="R60" s="24">
        <v>200</v>
      </c>
      <c r="S60" s="24">
        <v>10</v>
      </c>
      <c r="T60" s="24">
        <f t="shared" ca="1" si="12"/>
        <v>338</v>
      </c>
    </row>
    <row r="61" spans="1:20" x14ac:dyDescent="0.45">
      <c r="A61" s="11">
        <v>48</v>
      </c>
      <c r="B61" s="11">
        <f t="shared" ca="1" si="0"/>
        <v>0.28370920035652503</v>
      </c>
      <c r="C61" s="11">
        <f t="shared" ca="1" si="1"/>
        <v>1200</v>
      </c>
      <c r="D61" s="11">
        <f t="shared" ca="1" si="2"/>
        <v>0.18658474438995842</v>
      </c>
      <c r="E61" s="11">
        <f t="shared" ca="1" si="3"/>
        <v>1100</v>
      </c>
      <c r="F61" s="11">
        <f t="shared" ca="1" si="4"/>
        <v>0.57187610738038175</v>
      </c>
      <c r="G61" s="11">
        <f t="shared" ca="1" si="5"/>
        <v>1300</v>
      </c>
      <c r="H61" s="11">
        <f t="shared" ca="1" si="6"/>
        <v>1100</v>
      </c>
      <c r="I61" s="11">
        <f t="shared" ca="1" si="7"/>
        <v>0.68878146912810423</v>
      </c>
      <c r="J61" s="11">
        <f t="shared" ca="1" si="8"/>
        <v>10</v>
      </c>
      <c r="K61" s="24">
        <v>96</v>
      </c>
      <c r="L61" s="24">
        <f t="shared" ca="1" si="9"/>
        <v>100</v>
      </c>
      <c r="M61" s="24">
        <v>400</v>
      </c>
      <c r="N61" s="24">
        <v>20</v>
      </c>
      <c r="O61" s="24">
        <f t="shared" ca="1" si="10"/>
        <v>616</v>
      </c>
      <c r="P61" s="24">
        <v>79</v>
      </c>
      <c r="Q61" s="11">
        <f t="shared" ca="1" si="11"/>
        <v>100</v>
      </c>
      <c r="R61" s="24">
        <v>200</v>
      </c>
      <c r="S61" s="24">
        <v>10</v>
      </c>
      <c r="T61" s="24">
        <f t="shared" ca="1" si="12"/>
        <v>389</v>
      </c>
    </row>
    <row r="62" spans="1:20" x14ac:dyDescent="0.45">
      <c r="A62" s="11">
        <v>49</v>
      </c>
      <c r="B62" s="11">
        <f t="shared" ca="1" si="0"/>
        <v>0.87159867207008479</v>
      </c>
      <c r="C62" s="11">
        <f t="shared" ca="1" si="1"/>
        <v>1700</v>
      </c>
      <c r="D62" s="11">
        <f t="shared" ca="1" si="2"/>
        <v>0.82005022057691512</v>
      </c>
      <c r="E62" s="11">
        <f t="shared" ca="1" si="3"/>
        <v>1600</v>
      </c>
      <c r="F62" s="11">
        <f t="shared" ca="1" si="4"/>
        <v>0.3705945926526204</v>
      </c>
      <c r="G62" s="11">
        <f t="shared" ca="1" si="5"/>
        <v>1200</v>
      </c>
      <c r="H62" s="11">
        <f t="shared" ca="1" si="6"/>
        <v>1200</v>
      </c>
      <c r="I62" s="11">
        <f t="shared" ca="1" si="7"/>
        <v>0.74047498241742871</v>
      </c>
      <c r="J62" s="11">
        <f t="shared" ca="1" si="8"/>
        <v>10</v>
      </c>
      <c r="K62" s="24">
        <v>96</v>
      </c>
      <c r="L62" s="24">
        <f t="shared" ca="1" si="9"/>
        <v>100</v>
      </c>
      <c r="M62" s="24">
        <v>400</v>
      </c>
      <c r="N62" s="24">
        <v>20</v>
      </c>
      <c r="O62" s="24">
        <f t="shared" ca="1" si="10"/>
        <v>616</v>
      </c>
      <c r="P62" s="24">
        <v>80</v>
      </c>
      <c r="Q62" s="11">
        <f t="shared" ca="1" si="11"/>
        <v>100</v>
      </c>
      <c r="R62" s="24">
        <v>200</v>
      </c>
      <c r="S62" s="24">
        <v>10</v>
      </c>
      <c r="T62" s="24">
        <f t="shared" ca="1" si="12"/>
        <v>390</v>
      </c>
    </row>
    <row r="63" spans="1:20" x14ac:dyDescent="0.45">
      <c r="A63" s="11">
        <v>50</v>
      </c>
      <c r="B63" s="11">
        <f t="shared" ca="1" si="0"/>
        <v>0.25384523478295729</v>
      </c>
      <c r="C63" s="11">
        <f t="shared" ca="1" si="1"/>
        <v>1200</v>
      </c>
      <c r="D63" s="11">
        <f t="shared" ca="1" si="2"/>
        <v>0.70221341024912109</v>
      </c>
      <c r="E63" s="11">
        <f t="shared" ca="1" si="3"/>
        <v>1500</v>
      </c>
      <c r="F63" s="11">
        <f t="shared" ca="1" si="4"/>
        <v>0.14267457237165826</v>
      </c>
      <c r="G63" s="11">
        <f t="shared" ca="1" si="5"/>
        <v>1100</v>
      </c>
      <c r="H63" s="11">
        <f t="shared" ca="1" si="6"/>
        <v>1100</v>
      </c>
      <c r="I63" s="11">
        <f t="shared" ca="1" si="7"/>
        <v>5.3785869208466064E-2</v>
      </c>
      <c r="J63" s="11">
        <f t="shared" ca="1" si="8"/>
        <v>5</v>
      </c>
      <c r="K63" s="24">
        <v>96</v>
      </c>
      <c r="L63" s="24">
        <f t="shared" ca="1" si="9"/>
        <v>50</v>
      </c>
      <c r="M63" s="24">
        <v>400</v>
      </c>
      <c r="N63" s="24">
        <v>20</v>
      </c>
      <c r="O63" s="24">
        <f t="shared" ca="1" si="10"/>
        <v>566</v>
      </c>
      <c r="P63" s="24">
        <v>81</v>
      </c>
      <c r="Q63" s="11">
        <f t="shared" ca="1" si="11"/>
        <v>50</v>
      </c>
      <c r="R63" s="24">
        <v>200</v>
      </c>
      <c r="S63" s="24">
        <v>10</v>
      </c>
      <c r="T63" s="24">
        <f t="shared" ca="1" si="12"/>
        <v>341</v>
      </c>
    </row>
    <row r="64" spans="1:20" x14ac:dyDescent="0.45">
      <c r="A64" s="11">
        <v>51</v>
      </c>
      <c r="B64" s="11">
        <f t="shared" ca="1" si="0"/>
        <v>7.9004258644541192E-2</v>
      </c>
      <c r="C64" s="11">
        <f t="shared" ca="1" si="1"/>
        <v>1000</v>
      </c>
      <c r="D64" s="11">
        <f t="shared" ca="1" si="2"/>
        <v>0.52452673003380035</v>
      </c>
      <c r="E64" s="11">
        <f t="shared" ca="1" si="3"/>
        <v>1300</v>
      </c>
      <c r="F64" s="11">
        <f t="shared" ca="1" si="4"/>
        <v>0.91616445225506138</v>
      </c>
      <c r="G64" s="11">
        <f t="shared" ca="1" si="5"/>
        <v>1800</v>
      </c>
      <c r="H64" s="11">
        <f t="shared" ca="1" si="6"/>
        <v>1000</v>
      </c>
      <c r="I64" s="11">
        <f t="shared" ca="1" si="7"/>
        <v>0.45708253821050171</v>
      </c>
      <c r="J64" s="11">
        <f t="shared" ca="1" si="8"/>
        <v>5</v>
      </c>
      <c r="K64" s="24">
        <v>96</v>
      </c>
      <c r="L64" s="24">
        <f t="shared" ca="1" si="9"/>
        <v>50</v>
      </c>
      <c r="M64" s="24">
        <v>400</v>
      </c>
      <c r="N64" s="24">
        <v>20</v>
      </c>
      <c r="O64" s="24">
        <f t="shared" ca="1" si="10"/>
        <v>566</v>
      </c>
      <c r="P64" s="24">
        <v>82</v>
      </c>
      <c r="Q64" s="11">
        <f t="shared" ca="1" si="11"/>
        <v>50</v>
      </c>
      <c r="R64" s="24">
        <v>200</v>
      </c>
      <c r="S64" s="24">
        <v>10</v>
      </c>
      <c r="T64" s="24">
        <f t="shared" ca="1" si="12"/>
        <v>342</v>
      </c>
    </row>
    <row r="65" spans="1:20" x14ac:dyDescent="0.45">
      <c r="A65" s="11">
        <v>52</v>
      </c>
      <c r="B65" s="11">
        <f t="shared" ca="1" si="0"/>
        <v>0.87060593630726713</v>
      </c>
      <c r="C65" s="11">
        <f t="shared" ca="1" si="1"/>
        <v>1700</v>
      </c>
      <c r="D65" s="11">
        <f t="shared" ca="1" si="2"/>
        <v>0.46616245797172806</v>
      </c>
      <c r="E65" s="11">
        <f t="shared" ca="1" si="3"/>
        <v>1200</v>
      </c>
      <c r="F65" s="11">
        <f t="shared" ca="1" si="4"/>
        <v>0.23075235830295382</v>
      </c>
      <c r="G65" s="11">
        <f t="shared" ca="1" si="5"/>
        <v>1200</v>
      </c>
      <c r="H65" s="11">
        <f t="shared" ca="1" si="6"/>
        <v>1200</v>
      </c>
      <c r="I65" s="11">
        <f t="shared" ca="1" si="7"/>
        <v>0.3285504752240439</v>
      </c>
      <c r="J65" s="11">
        <f t="shared" ca="1" si="8"/>
        <v>5</v>
      </c>
      <c r="K65" s="24">
        <v>96</v>
      </c>
      <c r="L65" s="24">
        <f t="shared" ca="1" si="9"/>
        <v>50</v>
      </c>
      <c r="M65" s="24">
        <v>400</v>
      </c>
      <c r="N65" s="24">
        <v>20</v>
      </c>
      <c r="O65" s="24">
        <f t="shared" ca="1" si="10"/>
        <v>566</v>
      </c>
      <c r="P65" s="24">
        <v>83</v>
      </c>
      <c r="Q65" s="11">
        <f t="shared" ca="1" si="11"/>
        <v>50</v>
      </c>
      <c r="R65" s="24">
        <v>200</v>
      </c>
      <c r="S65" s="24">
        <v>10</v>
      </c>
      <c r="T65" s="24">
        <f t="shared" ca="1" si="12"/>
        <v>343</v>
      </c>
    </row>
    <row r="66" spans="1:20" x14ac:dyDescent="0.45">
      <c r="A66" s="11">
        <v>53</v>
      </c>
      <c r="B66" s="11">
        <f t="shared" ca="1" si="0"/>
        <v>0.58810080611434912</v>
      </c>
      <c r="C66" s="11">
        <f t="shared" ca="1" si="1"/>
        <v>1300</v>
      </c>
      <c r="D66" s="11">
        <f t="shared" ca="1" si="2"/>
        <v>0.8076885626266036</v>
      </c>
      <c r="E66" s="11">
        <f t="shared" ca="1" si="3"/>
        <v>1500</v>
      </c>
      <c r="F66" s="11">
        <f t="shared" ca="1" si="4"/>
        <v>0.78961420963497009</v>
      </c>
      <c r="G66" s="11">
        <f t="shared" ca="1" si="5"/>
        <v>1500</v>
      </c>
      <c r="H66" s="11">
        <f t="shared" ca="1" si="6"/>
        <v>1300</v>
      </c>
      <c r="I66" s="11">
        <f t="shared" ca="1" si="7"/>
        <v>0.8416071800520909</v>
      </c>
      <c r="J66" s="11">
        <f t="shared" ca="1" si="8"/>
        <v>10</v>
      </c>
      <c r="K66" s="24">
        <v>96</v>
      </c>
      <c r="L66" s="24">
        <f t="shared" ca="1" si="9"/>
        <v>100</v>
      </c>
      <c r="M66" s="24">
        <v>400</v>
      </c>
      <c r="N66" s="24">
        <v>20</v>
      </c>
      <c r="O66" s="24">
        <f t="shared" ca="1" si="10"/>
        <v>616</v>
      </c>
      <c r="P66" s="24">
        <v>84</v>
      </c>
      <c r="Q66" s="11">
        <f t="shared" ca="1" si="11"/>
        <v>100</v>
      </c>
      <c r="R66" s="24">
        <v>200</v>
      </c>
      <c r="S66" s="24">
        <v>10</v>
      </c>
      <c r="T66" s="24">
        <f t="shared" ca="1" si="12"/>
        <v>394</v>
      </c>
    </row>
    <row r="67" spans="1:20" x14ac:dyDescent="0.45">
      <c r="A67" s="11">
        <v>54</v>
      </c>
      <c r="B67" s="11">
        <f t="shared" ca="1" si="0"/>
        <v>0.62315210866848281</v>
      </c>
      <c r="C67" s="11">
        <f t="shared" ca="1" si="1"/>
        <v>1400</v>
      </c>
      <c r="D67" s="11">
        <f t="shared" ca="1" si="2"/>
        <v>0.47736968715091754</v>
      </c>
      <c r="E67" s="11">
        <f t="shared" ca="1" si="3"/>
        <v>1200</v>
      </c>
      <c r="F67" s="11">
        <f t="shared" ca="1" si="4"/>
        <v>0.95349540179548453</v>
      </c>
      <c r="G67" s="11">
        <f t="shared" ca="1" si="5"/>
        <v>1900</v>
      </c>
      <c r="H67" s="11">
        <f t="shared" ca="1" si="6"/>
        <v>1200</v>
      </c>
      <c r="I67" s="11">
        <f t="shared" ca="1" si="7"/>
        <v>0.4308116730910192</v>
      </c>
      <c r="J67" s="11">
        <f t="shared" ca="1" si="8"/>
        <v>5</v>
      </c>
      <c r="K67" s="24">
        <v>96</v>
      </c>
      <c r="L67" s="24">
        <f t="shared" ca="1" si="9"/>
        <v>50</v>
      </c>
      <c r="M67" s="24">
        <v>400</v>
      </c>
      <c r="N67" s="24">
        <v>20</v>
      </c>
      <c r="O67" s="24">
        <f t="shared" ca="1" si="10"/>
        <v>566</v>
      </c>
      <c r="P67" s="24">
        <v>85</v>
      </c>
      <c r="Q67" s="11">
        <f t="shared" ca="1" si="11"/>
        <v>50</v>
      </c>
      <c r="R67" s="24">
        <v>200</v>
      </c>
      <c r="S67" s="24">
        <v>10</v>
      </c>
      <c r="T67" s="24">
        <f t="shared" ca="1" si="12"/>
        <v>345</v>
      </c>
    </row>
    <row r="68" spans="1:20" x14ac:dyDescent="0.45">
      <c r="A68" s="11">
        <v>55</v>
      </c>
      <c r="B68" s="11">
        <f t="shared" ca="1" si="0"/>
        <v>0.15348213745574568</v>
      </c>
      <c r="C68" s="11">
        <f t="shared" ca="1" si="1"/>
        <v>1100</v>
      </c>
      <c r="D68" s="11">
        <f t="shared" ca="1" si="2"/>
        <v>2.1584323375317127E-2</v>
      </c>
      <c r="E68" s="11">
        <f t="shared" ca="1" si="3"/>
        <v>1000</v>
      </c>
      <c r="F68" s="11">
        <f t="shared" ca="1" si="4"/>
        <v>0.96134919722895817</v>
      </c>
      <c r="G68" s="11">
        <f t="shared" ca="1" si="5"/>
        <v>1900</v>
      </c>
      <c r="H68" s="11">
        <f t="shared" ca="1" si="6"/>
        <v>1000</v>
      </c>
      <c r="I68" s="11">
        <f t="shared" ca="1" si="7"/>
        <v>0.12072648180254009</v>
      </c>
      <c r="J68" s="11">
        <f t="shared" ca="1" si="8"/>
        <v>5</v>
      </c>
      <c r="K68" s="24">
        <v>96</v>
      </c>
      <c r="L68" s="24">
        <f t="shared" ca="1" si="9"/>
        <v>50</v>
      </c>
      <c r="M68" s="24">
        <v>400</v>
      </c>
      <c r="N68" s="24">
        <v>20</v>
      </c>
      <c r="O68" s="24">
        <f t="shared" ca="1" si="10"/>
        <v>566</v>
      </c>
      <c r="P68" s="24">
        <v>86</v>
      </c>
      <c r="Q68" s="11">
        <f t="shared" ca="1" si="11"/>
        <v>50</v>
      </c>
      <c r="R68" s="24">
        <v>200</v>
      </c>
      <c r="S68" s="24">
        <v>10</v>
      </c>
      <c r="T68" s="24">
        <f t="shared" ca="1" si="12"/>
        <v>346</v>
      </c>
    </row>
    <row r="69" spans="1:20" x14ac:dyDescent="0.45">
      <c r="A69" s="11">
        <v>56</v>
      </c>
      <c r="B69" s="11">
        <f t="shared" ca="1" si="0"/>
        <v>0.69112486988775323</v>
      </c>
      <c r="C69" s="11">
        <f t="shared" ca="1" si="1"/>
        <v>1400</v>
      </c>
      <c r="D69" s="11">
        <f t="shared" ca="1" si="2"/>
        <v>0.81689888856320503</v>
      </c>
      <c r="E69" s="11">
        <f t="shared" ca="1" si="3"/>
        <v>1500</v>
      </c>
      <c r="F69" s="11">
        <f t="shared" ca="1" si="4"/>
        <v>0.93360255534106418</v>
      </c>
      <c r="G69" s="11">
        <f t="shared" ca="1" si="5"/>
        <v>1800</v>
      </c>
      <c r="H69" s="11">
        <f t="shared" ca="1" si="6"/>
        <v>1400</v>
      </c>
      <c r="I69" s="11">
        <f t="shared" ca="1" si="7"/>
        <v>0.16336493503997751</v>
      </c>
      <c r="J69" s="11">
        <f t="shared" ca="1" si="8"/>
        <v>5</v>
      </c>
      <c r="K69" s="24">
        <v>96</v>
      </c>
      <c r="L69" s="24">
        <f t="shared" ca="1" si="9"/>
        <v>50</v>
      </c>
      <c r="M69" s="24">
        <v>400</v>
      </c>
      <c r="N69" s="24">
        <v>20</v>
      </c>
      <c r="O69" s="24">
        <f t="shared" ca="1" si="10"/>
        <v>566</v>
      </c>
      <c r="P69" s="24">
        <v>87</v>
      </c>
      <c r="Q69" s="11">
        <f t="shared" ca="1" si="11"/>
        <v>50</v>
      </c>
      <c r="R69" s="24">
        <v>200</v>
      </c>
      <c r="S69" s="24">
        <v>10</v>
      </c>
      <c r="T69" s="24">
        <f t="shared" ca="1" si="12"/>
        <v>347</v>
      </c>
    </row>
    <row r="70" spans="1:20" x14ac:dyDescent="0.45">
      <c r="A70" s="11">
        <v>57</v>
      </c>
      <c r="B70" s="11">
        <f t="shared" ca="1" si="0"/>
        <v>0.44518148331551088</v>
      </c>
      <c r="C70" s="11">
        <f t="shared" ca="1" si="1"/>
        <v>1200</v>
      </c>
      <c r="D70" s="11">
        <f t="shared" ca="1" si="2"/>
        <v>0.1551877048084449</v>
      </c>
      <c r="E70" s="11">
        <f t="shared" ca="1" si="3"/>
        <v>1100</v>
      </c>
      <c r="F70" s="11">
        <f t="shared" ca="1" si="4"/>
        <v>0.80874056233877922</v>
      </c>
      <c r="G70" s="11">
        <f t="shared" ca="1" si="5"/>
        <v>1500</v>
      </c>
      <c r="H70" s="11">
        <f t="shared" ca="1" si="6"/>
        <v>1100</v>
      </c>
      <c r="I70" s="11">
        <f t="shared" ca="1" si="7"/>
        <v>0.75464761086382104</v>
      </c>
      <c r="J70" s="11">
        <f t="shared" ca="1" si="8"/>
        <v>10</v>
      </c>
      <c r="K70" s="24">
        <v>96</v>
      </c>
      <c r="L70" s="24">
        <f t="shared" ca="1" si="9"/>
        <v>100</v>
      </c>
      <c r="M70" s="24">
        <v>400</v>
      </c>
      <c r="N70" s="24">
        <v>20</v>
      </c>
      <c r="O70" s="24">
        <f t="shared" ca="1" si="10"/>
        <v>616</v>
      </c>
      <c r="P70" s="24">
        <v>88</v>
      </c>
      <c r="Q70" s="11">
        <f t="shared" ca="1" si="11"/>
        <v>100</v>
      </c>
      <c r="R70" s="24">
        <v>200</v>
      </c>
      <c r="S70" s="24">
        <v>10</v>
      </c>
      <c r="T70" s="24">
        <f t="shared" ca="1" si="12"/>
        <v>398</v>
      </c>
    </row>
    <row r="71" spans="1:20" x14ac:dyDescent="0.45">
      <c r="A71" s="11">
        <v>58</v>
      </c>
      <c r="B71" s="11">
        <f t="shared" ca="1" si="0"/>
        <v>0.57690440080390126</v>
      </c>
      <c r="C71" s="11">
        <f t="shared" ca="1" si="1"/>
        <v>1300</v>
      </c>
      <c r="D71" s="11">
        <f t="shared" ca="1" si="2"/>
        <v>0.73828255463086745</v>
      </c>
      <c r="E71" s="11">
        <f t="shared" ca="1" si="3"/>
        <v>1500</v>
      </c>
      <c r="F71" s="11">
        <f t="shared" ca="1" si="4"/>
        <v>7.9065571096743059E-2</v>
      </c>
      <c r="G71" s="11">
        <f t="shared" ca="1" si="5"/>
        <v>1000</v>
      </c>
      <c r="H71" s="11">
        <f t="shared" ca="1" si="6"/>
        <v>1000</v>
      </c>
      <c r="I71" s="11">
        <f t="shared" ca="1" si="7"/>
        <v>0.88466287064273486</v>
      </c>
      <c r="J71" s="11">
        <f t="shared" ca="1" si="8"/>
        <v>10</v>
      </c>
      <c r="K71" s="24">
        <v>96</v>
      </c>
      <c r="L71" s="24">
        <f t="shared" ca="1" si="9"/>
        <v>100</v>
      </c>
      <c r="M71" s="24">
        <v>400</v>
      </c>
      <c r="N71" s="24">
        <v>20</v>
      </c>
      <c r="O71" s="24">
        <f t="shared" ca="1" si="10"/>
        <v>616</v>
      </c>
      <c r="P71" s="24">
        <v>89</v>
      </c>
      <c r="Q71" s="11">
        <f t="shared" ca="1" si="11"/>
        <v>100</v>
      </c>
      <c r="R71" s="24">
        <v>200</v>
      </c>
      <c r="S71" s="24">
        <v>10</v>
      </c>
      <c r="T71" s="24">
        <f t="shared" ca="1" si="12"/>
        <v>399</v>
      </c>
    </row>
    <row r="72" spans="1:20" x14ac:dyDescent="0.45">
      <c r="A72" s="11">
        <v>59</v>
      </c>
      <c r="B72" s="11">
        <f t="shared" ca="1" si="0"/>
        <v>0.38434465950207475</v>
      </c>
      <c r="C72" s="11">
        <f t="shared" ca="1" si="1"/>
        <v>1200</v>
      </c>
      <c r="D72" s="11">
        <f t="shared" ca="1" si="2"/>
        <v>0.29405960798430353</v>
      </c>
      <c r="E72" s="11">
        <f t="shared" ca="1" si="3"/>
        <v>1200</v>
      </c>
      <c r="F72" s="11">
        <f t="shared" ca="1" si="4"/>
        <v>0.75098435717645473</v>
      </c>
      <c r="G72" s="11">
        <f t="shared" ca="1" si="5"/>
        <v>1500</v>
      </c>
      <c r="H72" s="11">
        <f t="shared" ca="1" si="6"/>
        <v>1200</v>
      </c>
      <c r="I72" s="11">
        <f t="shared" ca="1" si="7"/>
        <v>0.52466550804575762</v>
      </c>
      <c r="J72" s="11">
        <f t="shared" ca="1" si="8"/>
        <v>5</v>
      </c>
      <c r="K72" s="24">
        <v>96</v>
      </c>
      <c r="L72" s="24">
        <f t="shared" ca="1" si="9"/>
        <v>50</v>
      </c>
      <c r="M72" s="24">
        <v>400</v>
      </c>
      <c r="N72" s="24">
        <v>20</v>
      </c>
      <c r="O72" s="24">
        <f t="shared" ca="1" si="10"/>
        <v>566</v>
      </c>
      <c r="P72" s="24">
        <v>90</v>
      </c>
      <c r="Q72" s="11">
        <f t="shared" ca="1" si="11"/>
        <v>50</v>
      </c>
      <c r="R72" s="24">
        <v>200</v>
      </c>
      <c r="S72" s="24">
        <v>10</v>
      </c>
      <c r="T72" s="24">
        <f t="shared" ca="1" si="12"/>
        <v>350</v>
      </c>
    </row>
    <row r="73" spans="1:20" x14ac:dyDescent="0.45">
      <c r="A73" s="11">
        <v>60</v>
      </c>
      <c r="B73" s="11">
        <f t="shared" ca="1" si="0"/>
        <v>0.4069615564196909</v>
      </c>
      <c r="C73" s="11">
        <f t="shared" ca="1" si="1"/>
        <v>1200</v>
      </c>
      <c r="D73" s="11">
        <f t="shared" ca="1" si="2"/>
        <v>0.61439714968341919</v>
      </c>
      <c r="E73" s="11">
        <f t="shared" ca="1" si="3"/>
        <v>1400</v>
      </c>
      <c r="F73" s="11">
        <f t="shared" ca="1" si="4"/>
        <v>0.77075366524723998</v>
      </c>
      <c r="G73" s="11">
        <f t="shared" ca="1" si="5"/>
        <v>1500</v>
      </c>
      <c r="H73" s="11">
        <f t="shared" ca="1" si="6"/>
        <v>1200</v>
      </c>
      <c r="I73" s="11">
        <f t="shared" ca="1" si="7"/>
        <v>4.4157172409338141E-3</v>
      </c>
      <c r="J73" s="11">
        <f t="shared" ca="1" si="8"/>
        <v>5</v>
      </c>
      <c r="K73" s="24">
        <v>96</v>
      </c>
      <c r="L73" s="24">
        <f t="shared" ca="1" si="9"/>
        <v>50</v>
      </c>
      <c r="M73" s="24">
        <v>400</v>
      </c>
      <c r="N73" s="24">
        <v>20</v>
      </c>
      <c r="O73" s="24">
        <f t="shared" ca="1" si="10"/>
        <v>566</v>
      </c>
      <c r="P73" s="24">
        <v>91</v>
      </c>
      <c r="Q73" s="11">
        <f t="shared" ca="1" si="11"/>
        <v>50</v>
      </c>
      <c r="R73" s="24">
        <v>200</v>
      </c>
      <c r="S73" s="24">
        <v>10</v>
      </c>
      <c r="T73" s="24">
        <f t="shared" ca="1" si="12"/>
        <v>351</v>
      </c>
    </row>
    <row r="74" spans="1:20" x14ac:dyDescent="0.45">
      <c r="A74" s="11">
        <v>61</v>
      </c>
      <c r="B74" s="11">
        <f t="shared" ca="1" si="0"/>
        <v>0.41441150575774088</v>
      </c>
      <c r="C74" s="11">
        <f t="shared" ca="1" si="1"/>
        <v>1200</v>
      </c>
      <c r="D74" s="11">
        <f t="shared" ca="1" si="2"/>
        <v>0.20567696930158841</v>
      </c>
      <c r="E74" s="11">
        <f t="shared" ca="1" si="3"/>
        <v>1100</v>
      </c>
      <c r="F74" s="11">
        <f t="shared" ca="1" si="4"/>
        <v>0.40017323116532932</v>
      </c>
      <c r="G74" s="11">
        <f t="shared" ca="1" si="5"/>
        <v>1200</v>
      </c>
      <c r="H74" s="11">
        <f t="shared" ca="1" si="6"/>
        <v>1100</v>
      </c>
      <c r="I74" s="11">
        <f t="shared" ca="1" si="7"/>
        <v>0.96990685631859674</v>
      </c>
      <c r="J74" s="11">
        <f t="shared" ca="1" si="8"/>
        <v>15</v>
      </c>
      <c r="K74" s="24">
        <v>96</v>
      </c>
      <c r="L74" s="24">
        <f t="shared" ca="1" si="9"/>
        <v>150</v>
      </c>
      <c r="M74" s="24">
        <v>400</v>
      </c>
      <c r="N74" s="24">
        <v>20</v>
      </c>
      <c r="O74" s="24">
        <f t="shared" ca="1" si="10"/>
        <v>666</v>
      </c>
      <c r="P74" s="24">
        <v>92</v>
      </c>
      <c r="Q74" s="11">
        <f t="shared" ca="1" si="11"/>
        <v>150</v>
      </c>
      <c r="R74" s="24">
        <v>200</v>
      </c>
      <c r="S74" s="24">
        <v>10</v>
      </c>
      <c r="T74" s="24">
        <f t="shared" ca="1" si="12"/>
        <v>452</v>
      </c>
    </row>
    <row r="75" spans="1:20" x14ac:dyDescent="0.45">
      <c r="A75" s="11">
        <v>62</v>
      </c>
      <c r="B75" s="11">
        <f t="shared" ca="1" si="0"/>
        <v>0.90168952694976112</v>
      </c>
      <c r="C75" s="11">
        <f t="shared" ca="1" si="1"/>
        <v>1800</v>
      </c>
      <c r="D75" s="11">
        <f t="shared" ca="1" si="2"/>
        <v>0.47913710463535408</v>
      </c>
      <c r="E75" s="11">
        <f t="shared" ca="1" si="3"/>
        <v>1200</v>
      </c>
      <c r="F75" s="11">
        <f t="shared" ca="1" si="4"/>
        <v>0.18183334854664734</v>
      </c>
      <c r="G75" s="11">
        <f t="shared" ca="1" si="5"/>
        <v>1100</v>
      </c>
      <c r="H75" s="11">
        <f t="shared" ca="1" si="6"/>
        <v>1100</v>
      </c>
      <c r="I75" s="11">
        <f t="shared" ca="1" si="7"/>
        <v>0.61834324842160771</v>
      </c>
      <c r="J75" s="11">
        <f t="shared" ca="1" si="8"/>
        <v>10</v>
      </c>
      <c r="K75" s="24">
        <v>96</v>
      </c>
      <c r="L75" s="24">
        <f t="shared" ca="1" si="9"/>
        <v>100</v>
      </c>
      <c r="M75" s="24">
        <v>400</v>
      </c>
      <c r="N75" s="24">
        <v>20</v>
      </c>
      <c r="O75" s="24">
        <f t="shared" ca="1" si="10"/>
        <v>616</v>
      </c>
      <c r="P75" s="24">
        <v>93</v>
      </c>
      <c r="Q75" s="11">
        <f t="shared" ca="1" si="11"/>
        <v>100</v>
      </c>
      <c r="R75" s="24">
        <v>200</v>
      </c>
      <c r="S75" s="24">
        <v>10</v>
      </c>
      <c r="T75" s="24">
        <f t="shared" ca="1" si="12"/>
        <v>403</v>
      </c>
    </row>
    <row r="76" spans="1:20" x14ac:dyDescent="0.45">
      <c r="A76" s="11">
        <v>63</v>
      </c>
      <c r="B76" s="11">
        <f t="shared" ca="1" si="0"/>
        <v>0.14868214290266468</v>
      </c>
      <c r="C76" s="11">
        <f t="shared" ca="1" si="1"/>
        <v>1100</v>
      </c>
      <c r="D76" s="11">
        <f t="shared" ca="1" si="2"/>
        <v>0.43617725397314333</v>
      </c>
      <c r="E76" s="11">
        <f t="shared" ca="1" si="3"/>
        <v>1200</v>
      </c>
      <c r="F76" s="11">
        <f t="shared" ca="1" si="4"/>
        <v>0.654124615607238</v>
      </c>
      <c r="G76" s="11">
        <f t="shared" ca="1" si="5"/>
        <v>1400</v>
      </c>
      <c r="H76" s="11">
        <f t="shared" ca="1" si="6"/>
        <v>1100</v>
      </c>
      <c r="I76" s="11">
        <f t="shared" ca="1" si="7"/>
        <v>4.0617768211601679E-2</v>
      </c>
      <c r="J76" s="11">
        <f t="shared" ca="1" si="8"/>
        <v>5</v>
      </c>
      <c r="K76" s="24">
        <v>96</v>
      </c>
      <c r="L76" s="24">
        <f t="shared" ca="1" si="9"/>
        <v>50</v>
      </c>
      <c r="M76" s="24">
        <v>400</v>
      </c>
      <c r="N76" s="24">
        <v>20</v>
      </c>
      <c r="O76" s="24">
        <f t="shared" ca="1" si="10"/>
        <v>566</v>
      </c>
      <c r="P76" s="24">
        <v>94</v>
      </c>
      <c r="Q76" s="11">
        <f t="shared" ca="1" si="11"/>
        <v>50</v>
      </c>
      <c r="R76" s="24">
        <v>200</v>
      </c>
      <c r="S76" s="24">
        <v>10</v>
      </c>
      <c r="T76" s="24">
        <f t="shared" ca="1" si="12"/>
        <v>354</v>
      </c>
    </row>
    <row r="77" spans="1:20" x14ac:dyDescent="0.45">
      <c r="A77" s="11">
        <v>64</v>
      </c>
      <c r="B77" s="11">
        <f t="shared" ca="1" si="0"/>
        <v>0.42060714881192629</v>
      </c>
      <c r="C77" s="11">
        <f t="shared" ca="1" si="1"/>
        <v>1200</v>
      </c>
      <c r="D77" s="11">
        <f t="shared" ca="1" si="2"/>
        <v>0.57084755848109103</v>
      </c>
      <c r="E77" s="11">
        <f t="shared" ca="1" si="3"/>
        <v>1300</v>
      </c>
      <c r="F77" s="11">
        <f t="shared" ca="1" si="4"/>
        <v>0.60677408979840708</v>
      </c>
      <c r="G77" s="11">
        <f t="shared" ca="1" si="5"/>
        <v>1300</v>
      </c>
      <c r="H77" s="11">
        <f t="shared" ca="1" si="6"/>
        <v>1200</v>
      </c>
      <c r="I77" s="11">
        <f t="shared" ca="1" si="7"/>
        <v>0.95080306253244373</v>
      </c>
      <c r="J77" s="11">
        <f t="shared" ca="1" si="8"/>
        <v>15</v>
      </c>
      <c r="K77" s="24">
        <v>96</v>
      </c>
      <c r="L77" s="24">
        <f t="shared" ca="1" si="9"/>
        <v>150</v>
      </c>
      <c r="M77" s="24">
        <v>400</v>
      </c>
      <c r="N77" s="24">
        <v>20</v>
      </c>
      <c r="O77" s="24">
        <f t="shared" ca="1" si="10"/>
        <v>666</v>
      </c>
      <c r="P77" s="24">
        <v>95</v>
      </c>
      <c r="Q77" s="11">
        <f t="shared" ca="1" si="11"/>
        <v>150</v>
      </c>
      <c r="R77" s="24">
        <v>200</v>
      </c>
      <c r="S77" s="24">
        <v>10</v>
      </c>
      <c r="T77" s="24">
        <f t="shared" ca="1" si="12"/>
        <v>455</v>
      </c>
    </row>
    <row r="78" spans="1:20" x14ac:dyDescent="0.45">
      <c r="A78" s="11">
        <v>65</v>
      </c>
      <c r="B78" s="11">
        <f t="shared" ca="1" si="0"/>
        <v>7.3914444904001564E-2</v>
      </c>
      <c r="C78" s="11">
        <f t="shared" ca="1" si="1"/>
        <v>1000</v>
      </c>
      <c r="D78" s="11">
        <f t="shared" ca="1" si="2"/>
        <v>0.32271935143988117</v>
      </c>
      <c r="E78" s="11">
        <f t="shared" ca="1" si="3"/>
        <v>1200</v>
      </c>
      <c r="F78" s="11">
        <f t="shared" ca="1" si="4"/>
        <v>0.60382657778855009</v>
      </c>
      <c r="G78" s="11">
        <f t="shared" ca="1" si="5"/>
        <v>1300</v>
      </c>
      <c r="H78" s="11">
        <f t="shared" ca="1" si="6"/>
        <v>1000</v>
      </c>
      <c r="I78" s="11">
        <f t="shared" ca="1" si="7"/>
        <v>0.1959236421414069</v>
      </c>
      <c r="J78" s="11">
        <f t="shared" ca="1" si="8"/>
        <v>5</v>
      </c>
      <c r="K78" s="24">
        <v>96</v>
      </c>
      <c r="L78" s="24">
        <f t="shared" ca="1" si="9"/>
        <v>50</v>
      </c>
      <c r="M78" s="24">
        <v>400</v>
      </c>
      <c r="N78" s="24">
        <v>20</v>
      </c>
      <c r="O78" s="24">
        <f t="shared" ca="1" si="10"/>
        <v>566</v>
      </c>
      <c r="P78" s="24">
        <v>96</v>
      </c>
      <c r="Q78" s="11">
        <f t="shared" ca="1" si="11"/>
        <v>50</v>
      </c>
      <c r="R78" s="24">
        <v>200</v>
      </c>
      <c r="S78" s="24">
        <v>10</v>
      </c>
      <c r="T78" s="24">
        <f t="shared" ca="1" si="12"/>
        <v>356</v>
      </c>
    </row>
    <row r="79" spans="1:20" x14ac:dyDescent="0.45">
      <c r="A79" s="11">
        <v>66</v>
      </c>
      <c r="B79" s="11">
        <f t="shared" ref="B79:B142" ca="1" si="13">RAND()</f>
        <v>0.97647299266463927</v>
      </c>
      <c r="C79" s="11">
        <f t="shared" ref="C79:C142" ca="1" si="14">LOOKUP(B79, $C$2:$C$11, $A$2:$A$11)</f>
        <v>1900</v>
      </c>
      <c r="D79" s="11">
        <f t="shared" ref="D79:D142" ca="1" si="15">RAND()</f>
        <v>0.13841973081502501</v>
      </c>
      <c r="E79" s="11">
        <f t="shared" ref="E79:E142" ca="1" si="16">LOOKUP(D79, $C$2:$C$11, $A$2:$A$11)</f>
        <v>1100</v>
      </c>
      <c r="F79" s="11">
        <f t="shared" ref="F79:F142" ca="1" si="17">RAND()</f>
        <v>0.22782064669190427</v>
      </c>
      <c r="G79" s="11">
        <f t="shared" ref="G79:G142" ca="1" si="18">LOOKUP(F79, $C$2:$C$11, $A$2:$A$11)</f>
        <v>1100</v>
      </c>
      <c r="H79" s="11">
        <f t="shared" ref="H79:H142" ca="1" si="19">MIN(C79, E79, G79)</f>
        <v>1100</v>
      </c>
      <c r="I79" s="11">
        <f t="shared" ref="I79:I142" ca="1" si="20">RAND()</f>
        <v>6.5771395947472944E-2</v>
      </c>
      <c r="J79" s="11">
        <f t="shared" ref="J79:J142" ca="1" si="21">LOOKUP(I79, $G$2:$G$4, $E$2:$E$4)</f>
        <v>5</v>
      </c>
      <c r="K79" s="24">
        <v>96</v>
      </c>
      <c r="L79" s="24">
        <f t="shared" ref="L79:L142" ca="1" si="22">J79*10</f>
        <v>50</v>
      </c>
      <c r="M79" s="24">
        <v>400</v>
      </c>
      <c r="N79" s="24">
        <v>20</v>
      </c>
      <c r="O79" s="24">
        <f t="shared" ref="O79:O142" ca="1" si="23">K79+L79+M79+N79</f>
        <v>566</v>
      </c>
      <c r="P79" s="24">
        <v>97</v>
      </c>
      <c r="Q79" s="11">
        <f t="shared" ref="Q79:Q142" ca="1" si="24">J79*10</f>
        <v>50</v>
      </c>
      <c r="R79" s="24">
        <v>200</v>
      </c>
      <c r="S79" s="24">
        <v>10</v>
      </c>
      <c r="T79" s="24">
        <f t="shared" ref="T79:T142" ca="1" si="25">SUM(P79:S79)</f>
        <v>357</v>
      </c>
    </row>
    <row r="80" spans="1:20" x14ac:dyDescent="0.45">
      <c r="A80" s="11">
        <v>67</v>
      </c>
      <c r="B80" s="11">
        <f t="shared" ca="1" si="13"/>
        <v>0.89048060976381616</v>
      </c>
      <c r="C80" s="11">
        <f t="shared" ca="1" si="14"/>
        <v>1700</v>
      </c>
      <c r="D80" s="11">
        <f t="shared" ca="1" si="15"/>
        <v>0.29694499913168604</v>
      </c>
      <c r="E80" s="11">
        <f t="shared" ca="1" si="16"/>
        <v>1200</v>
      </c>
      <c r="F80" s="11">
        <f t="shared" ca="1" si="17"/>
        <v>0.67411101718929256</v>
      </c>
      <c r="G80" s="11">
        <f t="shared" ca="1" si="18"/>
        <v>1400</v>
      </c>
      <c r="H80" s="11">
        <f t="shared" ca="1" si="19"/>
        <v>1200</v>
      </c>
      <c r="I80" s="11">
        <f t="shared" ca="1" si="20"/>
        <v>0.91949993312563594</v>
      </c>
      <c r="J80" s="11">
        <f t="shared" ca="1" si="21"/>
        <v>15</v>
      </c>
      <c r="K80" s="24">
        <v>96</v>
      </c>
      <c r="L80" s="24">
        <f t="shared" ca="1" si="22"/>
        <v>150</v>
      </c>
      <c r="M80" s="24">
        <v>400</v>
      </c>
      <c r="N80" s="24">
        <v>20</v>
      </c>
      <c r="O80" s="24">
        <f t="shared" ca="1" si="23"/>
        <v>666</v>
      </c>
      <c r="P80" s="24">
        <v>98</v>
      </c>
      <c r="Q80" s="11">
        <f t="shared" ca="1" si="24"/>
        <v>150</v>
      </c>
      <c r="R80" s="24">
        <v>200</v>
      </c>
      <c r="S80" s="24">
        <v>10</v>
      </c>
      <c r="T80" s="24">
        <f t="shared" ca="1" si="25"/>
        <v>458</v>
      </c>
    </row>
    <row r="81" spans="1:20" x14ac:dyDescent="0.45">
      <c r="A81" s="11">
        <v>68</v>
      </c>
      <c r="B81" s="11">
        <f t="shared" ca="1" si="13"/>
        <v>0.99300627009230136</v>
      </c>
      <c r="C81" s="11">
        <f t="shared" ca="1" si="14"/>
        <v>1900</v>
      </c>
      <c r="D81" s="11">
        <f t="shared" ca="1" si="15"/>
        <v>0.71566254597727297</v>
      </c>
      <c r="E81" s="11">
        <f t="shared" ca="1" si="16"/>
        <v>1500</v>
      </c>
      <c r="F81" s="11">
        <f t="shared" ca="1" si="17"/>
        <v>0.1741111182955325</v>
      </c>
      <c r="G81" s="11">
        <f t="shared" ca="1" si="18"/>
        <v>1100</v>
      </c>
      <c r="H81" s="11">
        <f t="shared" ca="1" si="19"/>
        <v>1100</v>
      </c>
      <c r="I81" s="11">
        <f t="shared" ca="1" si="20"/>
        <v>0.18075435185684596</v>
      </c>
      <c r="J81" s="11">
        <f t="shared" ca="1" si="21"/>
        <v>5</v>
      </c>
      <c r="K81" s="24">
        <v>96</v>
      </c>
      <c r="L81" s="24">
        <f t="shared" ca="1" si="22"/>
        <v>50</v>
      </c>
      <c r="M81" s="24">
        <v>400</v>
      </c>
      <c r="N81" s="24">
        <v>20</v>
      </c>
      <c r="O81" s="24">
        <f t="shared" ca="1" si="23"/>
        <v>566</v>
      </c>
      <c r="P81" s="24">
        <v>99</v>
      </c>
      <c r="Q81" s="11">
        <f t="shared" ca="1" si="24"/>
        <v>50</v>
      </c>
      <c r="R81" s="24">
        <v>200</v>
      </c>
      <c r="S81" s="24">
        <v>10</v>
      </c>
      <c r="T81" s="24">
        <f t="shared" ca="1" si="25"/>
        <v>359</v>
      </c>
    </row>
    <row r="82" spans="1:20" x14ac:dyDescent="0.45">
      <c r="A82" s="11">
        <v>69</v>
      </c>
      <c r="B82" s="11">
        <f t="shared" ca="1" si="13"/>
        <v>0.83725371219127243</v>
      </c>
      <c r="C82" s="11">
        <f t="shared" ca="1" si="14"/>
        <v>1600</v>
      </c>
      <c r="D82" s="11">
        <f t="shared" ca="1" si="15"/>
        <v>0.2864514037245971</v>
      </c>
      <c r="E82" s="11">
        <f t="shared" ca="1" si="16"/>
        <v>1200</v>
      </c>
      <c r="F82" s="11">
        <f t="shared" ca="1" si="17"/>
        <v>0.61019408401789477</v>
      </c>
      <c r="G82" s="11">
        <f t="shared" ca="1" si="18"/>
        <v>1400</v>
      </c>
      <c r="H82" s="11">
        <f t="shared" ca="1" si="19"/>
        <v>1200</v>
      </c>
      <c r="I82" s="11">
        <f t="shared" ca="1" si="20"/>
        <v>0.58236266062757658</v>
      </c>
      <c r="J82" s="11">
        <f t="shared" ca="1" si="21"/>
        <v>5</v>
      </c>
      <c r="K82" s="24">
        <v>96</v>
      </c>
      <c r="L82" s="24">
        <f t="shared" ca="1" si="22"/>
        <v>50</v>
      </c>
      <c r="M82" s="24">
        <v>400</v>
      </c>
      <c r="N82" s="24">
        <v>20</v>
      </c>
      <c r="O82" s="24">
        <f t="shared" ca="1" si="23"/>
        <v>566</v>
      </c>
      <c r="P82" s="24">
        <v>100</v>
      </c>
      <c r="Q82" s="11">
        <f t="shared" ca="1" si="24"/>
        <v>50</v>
      </c>
      <c r="R82" s="24">
        <v>200</v>
      </c>
      <c r="S82" s="24">
        <v>10</v>
      </c>
      <c r="T82" s="24">
        <f t="shared" ca="1" si="25"/>
        <v>360</v>
      </c>
    </row>
    <row r="83" spans="1:20" x14ac:dyDescent="0.45">
      <c r="A83" s="11">
        <v>70</v>
      </c>
      <c r="B83" s="11">
        <f t="shared" ca="1" si="13"/>
        <v>0.66909957291303912</v>
      </c>
      <c r="C83" s="11">
        <f t="shared" ca="1" si="14"/>
        <v>1400</v>
      </c>
      <c r="D83" s="11">
        <f t="shared" ca="1" si="15"/>
        <v>0.14991258391132212</v>
      </c>
      <c r="E83" s="11">
        <f t="shared" ca="1" si="16"/>
        <v>1100</v>
      </c>
      <c r="F83" s="11">
        <f t="shared" ca="1" si="17"/>
        <v>0.58101751025485826</v>
      </c>
      <c r="G83" s="11">
        <f t="shared" ca="1" si="18"/>
        <v>1300</v>
      </c>
      <c r="H83" s="11">
        <f t="shared" ca="1" si="19"/>
        <v>1100</v>
      </c>
      <c r="I83" s="11">
        <f t="shared" ca="1" si="20"/>
        <v>0.68348099082573166</v>
      </c>
      <c r="J83" s="11">
        <f t="shared" ca="1" si="21"/>
        <v>10</v>
      </c>
      <c r="K83" s="24">
        <v>96</v>
      </c>
      <c r="L83" s="24">
        <f t="shared" ca="1" si="22"/>
        <v>100</v>
      </c>
      <c r="M83" s="24">
        <v>400</v>
      </c>
      <c r="N83" s="24">
        <v>20</v>
      </c>
      <c r="O83" s="24">
        <f t="shared" ca="1" si="23"/>
        <v>616</v>
      </c>
      <c r="P83" s="24">
        <v>101</v>
      </c>
      <c r="Q83" s="11">
        <f t="shared" ca="1" si="24"/>
        <v>100</v>
      </c>
      <c r="R83" s="24">
        <v>200</v>
      </c>
      <c r="S83" s="24">
        <v>10</v>
      </c>
      <c r="T83" s="24">
        <f t="shared" ca="1" si="25"/>
        <v>411</v>
      </c>
    </row>
    <row r="84" spans="1:20" x14ac:dyDescent="0.45">
      <c r="A84" s="11">
        <v>71</v>
      </c>
      <c r="B84" s="11">
        <f t="shared" ca="1" si="13"/>
        <v>0.19872338339894779</v>
      </c>
      <c r="C84" s="11">
        <f t="shared" ca="1" si="14"/>
        <v>1100</v>
      </c>
      <c r="D84" s="11">
        <f t="shared" ca="1" si="15"/>
        <v>0.3943882159290838</v>
      </c>
      <c r="E84" s="11">
        <f t="shared" ca="1" si="16"/>
        <v>1200</v>
      </c>
      <c r="F84" s="11">
        <f t="shared" ca="1" si="17"/>
        <v>0.24251227540557663</v>
      </c>
      <c r="G84" s="11">
        <f t="shared" ca="1" si="18"/>
        <v>1200</v>
      </c>
      <c r="H84" s="11">
        <f t="shared" ca="1" si="19"/>
        <v>1100</v>
      </c>
      <c r="I84" s="11">
        <f t="shared" ca="1" si="20"/>
        <v>0.30055731965736265</v>
      </c>
      <c r="J84" s="11">
        <f t="shared" ca="1" si="21"/>
        <v>5</v>
      </c>
      <c r="K84" s="24">
        <v>96</v>
      </c>
      <c r="L84" s="24">
        <f t="shared" ca="1" si="22"/>
        <v>50</v>
      </c>
      <c r="M84" s="24">
        <v>400</v>
      </c>
      <c r="N84" s="24">
        <v>20</v>
      </c>
      <c r="O84" s="24">
        <f t="shared" ca="1" si="23"/>
        <v>566</v>
      </c>
      <c r="P84" s="24">
        <v>102</v>
      </c>
      <c r="Q84" s="11">
        <f t="shared" ca="1" si="24"/>
        <v>50</v>
      </c>
      <c r="R84" s="24">
        <v>200</v>
      </c>
      <c r="S84" s="24">
        <v>10</v>
      </c>
      <c r="T84" s="24">
        <f t="shared" ca="1" si="25"/>
        <v>362</v>
      </c>
    </row>
    <row r="85" spans="1:20" x14ac:dyDescent="0.45">
      <c r="A85" s="11">
        <v>72</v>
      </c>
      <c r="B85" s="11">
        <f t="shared" ca="1" si="13"/>
        <v>4.7535214120594138E-2</v>
      </c>
      <c r="C85" s="11">
        <f t="shared" ca="1" si="14"/>
        <v>1000</v>
      </c>
      <c r="D85" s="11">
        <f t="shared" ca="1" si="15"/>
        <v>0.87759776673911305</v>
      </c>
      <c r="E85" s="11">
        <f t="shared" ca="1" si="16"/>
        <v>1700</v>
      </c>
      <c r="F85" s="11">
        <f t="shared" ca="1" si="17"/>
        <v>0.98016938863984948</v>
      </c>
      <c r="G85" s="11">
        <f t="shared" ca="1" si="18"/>
        <v>1900</v>
      </c>
      <c r="H85" s="11">
        <f t="shared" ca="1" si="19"/>
        <v>1000</v>
      </c>
      <c r="I85" s="11">
        <f t="shared" ca="1" si="20"/>
        <v>0.26125992375229179</v>
      </c>
      <c r="J85" s="11">
        <f t="shared" ca="1" si="21"/>
        <v>5</v>
      </c>
      <c r="K85" s="24">
        <v>96</v>
      </c>
      <c r="L85" s="24">
        <f t="shared" ca="1" si="22"/>
        <v>50</v>
      </c>
      <c r="M85" s="24">
        <v>400</v>
      </c>
      <c r="N85" s="24">
        <v>20</v>
      </c>
      <c r="O85" s="24">
        <f t="shared" ca="1" si="23"/>
        <v>566</v>
      </c>
      <c r="P85" s="24">
        <v>103</v>
      </c>
      <c r="Q85" s="11">
        <f t="shared" ca="1" si="24"/>
        <v>50</v>
      </c>
      <c r="R85" s="24">
        <v>200</v>
      </c>
      <c r="S85" s="24">
        <v>10</v>
      </c>
      <c r="T85" s="24">
        <f t="shared" ca="1" si="25"/>
        <v>363</v>
      </c>
    </row>
    <row r="86" spans="1:20" x14ac:dyDescent="0.45">
      <c r="A86" s="11">
        <v>73</v>
      </c>
      <c r="B86" s="11">
        <f t="shared" ca="1" si="13"/>
        <v>0.93291235395795913</v>
      </c>
      <c r="C86" s="11">
        <f t="shared" ca="1" si="14"/>
        <v>1800</v>
      </c>
      <c r="D86" s="11">
        <f t="shared" ca="1" si="15"/>
        <v>0.95712942093310549</v>
      </c>
      <c r="E86" s="11">
        <f t="shared" ca="1" si="16"/>
        <v>1900</v>
      </c>
      <c r="F86" s="11">
        <f t="shared" ca="1" si="17"/>
        <v>0.84178750742829789</v>
      </c>
      <c r="G86" s="11">
        <f t="shared" ca="1" si="18"/>
        <v>1700</v>
      </c>
      <c r="H86" s="11">
        <f t="shared" ca="1" si="19"/>
        <v>1700</v>
      </c>
      <c r="I86" s="11">
        <f t="shared" ca="1" si="20"/>
        <v>0.53676159894958064</v>
      </c>
      <c r="J86" s="11">
        <f t="shared" ca="1" si="21"/>
        <v>5</v>
      </c>
      <c r="K86" s="24">
        <v>96</v>
      </c>
      <c r="L86" s="24">
        <f t="shared" ca="1" si="22"/>
        <v>50</v>
      </c>
      <c r="M86" s="24">
        <v>400</v>
      </c>
      <c r="N86" s="24">
        <v>20</v>
      </c>
      <c r="O86" s="24">
        <f t="shared" ca="1" si="23"/>
        <v>566</v>
      </c>
      <c r="P86" s="24">
        <v>104</v>
      </c>
      <c r="Q86" s="11">
        <f t="shared" ca="1" si="24"/>
        <v>50</v>
      </c>
      <c r="R86" s="24">
        <v>200</v>
      </c>
      <c r="S86" s="24">
        <v>10</v>
      </c>
      <c r="T86" s="24">
        <f t="shared" ca="1" si="25"/>
        <v>364</v>
      </c>
    </row>
    <row r="87" spans="1:20" x14ac:dyDescent="0.45">
      <c r="A87" s="11">
        <v>74</v>
      </c>
      <c r="B87" s="11">
        <f t="shared" ca="1" si="13"/>
        <v>0.39374235255131962</v>
      </c>
      <c r="C87" s="11">
        <f t="shared" ca="1" si="14"/>
        <v>1200</v>
      </c>
      <c r="D87" s="11">
        <f t="shared" ca="1" si="15"/>
        <v>0.80644638659985213</v>
      </c>
      <c r="E87" s="11">
        <f t="shared" ca="1" si="16"/>
        <v>1500</v>
      </c>
      <c r="F87" s="11">
        <f t="shared" ca="1" si="17"/>
        <v>0.35182064130875446</v>
      </c>
      <c r="G87" s="11">
        <f t="shared" ca="1" si="18"/>
        <v>1200</v>
      </c>
      <c r="H87" s="11">
        <f t="shared" ca="1" si="19"/>
        <v>1200</v>
      </c>
      <c r="I87" s="11">
        <f t="shared" ca="1" si="20"/>
        <v>0.81311451892777464</v>
      </c>
      <c r="J87" s="11">
        <f t="shared" ca="1" si="21"/>
        <v>10</v>
      </c>
      <c r="K87" s="24">
        <v>96</v>
      </c>
      <c r="L87" s="24">
        <f t="shared" ca="1" si="22"/>
        <v>100</v>
      </c>
      <c r="M87" s="24">
        <v>400</v>
      </c>
      <c r="N87" s="24">
        <v>20</v>
      </c>
      <c r="O87" s="24">
        <f t="shared" ca="1" si="23"/>
        <v>616</v>
      </c>
      <c r="P87" s="24">
        <v>105</v>
      </c>
      <c r="Q87" s="11">
        <f t="shared" ca="1" si="24"/>
        <v>100</v>
      </c>
      <c r="R87" s="24">
        <v>200</v>
      </c>
      <c r="S87" s="24">
        <v>10</v>
      </c>
      <c r="T87" s="24">
        <f t="shared" ca="1" si="25"/>
        <v>415</v>
      </c>
    </row>
    <row r="88" spans="1:20" x14ac:dyDescent="0.45">
      <c r="A88" s="11">
        <v>75</v>
      </c>
      <c r="B88" s="11">
        <f t="shared" ca="1" si="13"/>
        <v>0.63712202444308164</v>
      </c>
      <c r="C88" s="11">
        <f t="shared" ca="1" si="14"/>
        <v>1400</v>
      </c>
      <c r="D88" s="11">
        <f t="shared" ca="1" si="15"/>
        <v>0.88445993842274007</v>
      </c>
      <c r="E88" s="11">
        <f t="shared" ca="1" si="16"/>
        <v>1700</v>
      </c>
      <c r="F88" s="11">
        <f t="shared" ca="1" si="17"/>
        <v>0.20337268774843842</v>
      </c>
      <c r="G88" s="11">
        <f t="shared" ca="1" si="18"/>
        <v>1100</v>
      </c>
      <c r="H88" s="11">
        <f t="shared" ca="1" si="19"/>
        <v>1100</v>
      </c>
      <c r="I88" s="11">
        <f t="shared" ca="1" si="20"/>
        <v>0.42196426060470149</v>
      </c>
      <c r="J88" s="11">
        <f t="shared" ca="1" si="21"/>
        <v>5</v>
      </c>
      <c r="K88" s="24">
        <v>96</v>
      </c>
      <c r="L88" s="24">
        <f t="shared" ca="1" si="22"/>
        <v>50</v>
      </c>
      <c r="M88" s="24">
        <v>400</v>
      </c>
      <c r="N88" s="24">
        <v>20</v>
      </c>
      <c r="O88" s="24">
        <f t="shared" ca="1" si="23"/>
        <v>566</v>
      </c>
      <c r="P88" s="24">
        <v>106</v>
      </c>
      <c r="Q88" s="11">
        <f t="shared" ca="1" si="24"/>
        <v>50</v>
      </c>
      <c r="R88" s="24">
        <v>200</v>
      </c>
      <c r="S88" s="24">
        <v>10</v>
      </c>
      <c r="T88" s="24">
        <f t="shared" ca="1" si="25"/>
        <v>366</v>
      </c>
    </row>
    <row r="89" spans="1:20" x14ac:dyDescent="0.45">
      <c r="A89" s="11">
        <v>76</v>
      </c>
      <c r="B89" s="11">
        <f t="shared" ca="1" si="13"/>
        <v>0.74910461346756285</v>
      </c>
      <c r="C89" s="11">
        <f t="shared" ca="1" si="14"/>
        <v>1500</v>
      </c>
      <c r="D89" s="11">
        <f t="shared" ca="1" si="15"/>
        <v>0.20589513002233606</v>
      </c>
      <c r="E89" s="11">
        <f t="shared" ca="1" si="16"/>
        <v>1100</v>
      </c>
      <c r="F89" s="11">
        <f t="shared" ca="1" si="17"/>
        <v>0.38283446048114955</v>
      </c>
      <c r="G89" s="11">
        <f t="shared" ca="1" si="18"/>
        <v>1200</v>
      </c>
      <c r="H89" s="11">
        <f t="shared" ca="1" si="19"/>
        <v>1100</v>
      </c>
      <c r="I89" s="11">
        <f t="shared" ca="1" si="20"/>
        <v>0.32652222898600214</v>
      </c>
      <c r="J89" s="11">
        <f t="shared" ca="1" si="21"/>
        <v>5</v>
      </c>
      <c r="K89" s="24">
        <v>96</v>
      </c>
      <c r="L89" s="24">
        <f t="shared" ca="1" si="22"/>
        <v>50</v>
      </c>
      <c r="M89" s="24">
        <v>400</v>
      </c>
      <c r="N89" s="24">
        <v>20</v>
      </c>
      <c r="O89" s="24">
        <f t="shared" ca="1" si="23"/>
        <v>566</v>
      </c>
      <c r="P89" s="24">
        <v>107</v>
      </c>
      <c r="Q89" s="11">
        <f t="shared" ca="1" si="24"/>
        <v>50</v>
      </c>
      <c r="R89" s="24">
        <v>200</v>
      </c>
      <c r="S89" s="24">
        <v>10</v>
      </c>
      <c r="T89" s="24">
        <f t="shared" ca="1" si="25"/>
        <v>367</v>
      </c>
    </row>
    <row r="90" spans="1:20" x14ac:dyDescent="0.45">
      <c r="A90" s="11">
        <v>77</v>
      </c>
      <c r="B90" s="11">
        <f t="shared" ca="1" si="13"/>
        <v>0.88872058285256428</v>
      </c>
      <c r="C90" s="11">
        <f t="shared" ca="1" si="14"/>
        <v>1700</v>
      </c>
      <c r="D90" s="11">
        <f t="shared" ca="1" si="15"/>
        <v>0.90151946612167932</v>
      </c>
      <c r="E90" s="11">
        <f t="shared" ca="1" si="16"/>
        <v>1800</v>
      </c>
      <c r="F90" s="11">
        <f t="shared" ca="1" si="17"/>
        <v>0.4789025439211142</v>
      </c>
      <c r="G90" s="11">
        <f t="shared" ca="1" si="18"/>
        <v>1200</v>
      </c>
      <c r="H90" s="11">
        <f t="shared" ca="1" si="19"/>
        <v>1200</v>
      </c>
      <c r="I90" s="11">
        <f t="shared" ca="1" si="20"/>
        <v>0.60045917395799631</v>
      </c>
      <c r="J90" s="11">
        <f t="shared" ca="1" si="21"/>
        <v>10</v>
      </c>
      <c r="K90" s="24">
        <v>96</v>
      </c>
      <c r="L90" s="24">
        <f t="shared" ca="1" si="22"/>
        <v>100</v>
      </c>
      <c r="M90" s="24">
        <v>400</v>
      </c>
      <c r="N90" s="24">
        <v>20</v>
      </c>
      <c r="O90" s="24">
        <f t="shared" ca="1" si="23"/>
        <v>616</v>
      </c>
      <c r="P90" s="24">
        <v>108</v>
      </c>
      <c r="Q90" s="11">
        <f t="shared" ca="1" si="24"/>
        <v>100</v>
      </c>
      <c r="R90" s="24">
        <v>200</v>
      </c>
      <c r="S90" s="24">
        <v>10</v>
      </c>
      <c r="T90" s="24">
        <f t="shared" ca="1" si="25"/>
        <v>418</v>
      </c>
    </row>
    <row r="91" spans="1:20" x14ac:dyDescent="0.45">
      <c r="A91" s="11">
        <v>78</v>
      </c>
      <c r="B91" s="11">
        <f t="shared" ca="1" si="13"/>
        <v>0.59959134875415465</v>
      </c>
      <c r="C91" s="11">
        <f t="shared" ca="1" si="14"/>
        <v>1300</v>
      </c>
      <c r="D91" s="11">
        <f t="shared" ca="1" si="15"/>
        <v>0.67356424343056798</v>
      </c>
      <c r="E91" s="11">
        <f t="shared" ca="1" si="16"/>
        <v>1400</v>
      </c>
      <c r="F91" s="11">
        <f t="shared" ca="1" si="17"/>
        <v>0.48550764735620933</v>
      </c>
      <c r="G91" s="11">
        <f t="shared" ca="1" si="18"/>
        <v>1300</v>
      </c>
      <c r="H91" s="11">
        <f t="shared" ca="1" si="19"/>
        <v>1300</v>
      </c>
      <c r="I91" s="11">
        <f t="shared" ca="1" si="20"/>
        <v>0.72999981611405307</v>
      </c>
      <c r="J91" s="11">
        <f t="shared" ca="1" si="21"/>
        <v>10</v>
      </c>
      <c r="K91" s="24">
        <v>96</v>
      </c>
      <c r="L91" s="24">
        <f t="shared" ca="1" si="22"/>
        <v>100</v>
      </c>
      <c r="M91" s="24">
        <v>400</v>
      </c>
      <c r="N91" s="24">
        <v>20</v>
      </c>
      <c r="O91" s="24">
        <f t="shared" ca="1" si="23"/>
        <v>616</v>
      </c>
      <c r="P91" s="24">
        <v>109</v>
      </c>
      <c r="Q91" s="11">
        <f t="shared" ca="1" si="24"/>
        <v>100</v>
      </c>
      <c r="R91" s="24">
        <v>200</v>
      </c>
      <c r="S91" s="24">
        <v>10</v>
      </c>
      <c r="T91" s="24">
        <f t="shared" ca="1" si="25"/>
        <v>419</v>
      </c>
    </row>
    <row r="92" spans="1:20" x14ac:dyDescent="0.45">
      <c r="A92" s="11">
        <v>79</v>
      </c>
      <c r="B92" s="11">
        <f t="shared" ca="1" si="13"/>
        <v>0.19328827768302603</v>
      </c>
      <c r="C92" s="11">
        <f t="shared" ca="1" si="14"/>
        <v>1100</v>
      </c>
      <c r="D92" s="11">
        <f t="shared" ca="1" si="15"/>
        <v>0.19484549673589124</v>
      </c>
      <c r="E92" s="11">
        <f t="shared" ca="1" si="16"/>
        <v>1100</v>
      </c>
      <c r="F92" s="11">
        <f t="shared" ca="1" si="17"/>
        <v>0.27641570851355057</v>
      </c>
      <c r="G92" s="11">
        <f t="shared" ca="1" si="18"/>
        <v>1200</v>
      </c>
      <c r="H92" s="11">
        <f t="shared" ca="1" si="19"/>
        <v>1100</v>
      </c>
      <c r="I92" s="11">
        <f t="shared" ca="1" si="20"/>
        <v>0.62421649913517563</v>
      </c>
      <c r="J92" s="11">
        <f t="shared" ca="1" si="21"/>
        <v>10</v>
      </c>
      <c r="K92" s="24">
        <v>96</v>
      </c>
      <c r="L92" s="24">
        <f t="shared" ca="1" si="22"/>
        <v>100</v>
      </c>
      <c r="M92" s="24">
        <v>400</v>
      </c>
      <c r="N92" s="24">
        <v>20</v>
      </c>
      <c r="O92" s="24">
        <f t="shared" ca="1" si="23"/>
        <v>616</v>
      </c>
      <c r="P92" s="24">
        <v>110</v>
      </c>
      <c r="Q92" s="11">
        <f t="shared" ca="1" si="24"/>
        <v>100</v>
      </c>
      <c r="R92" s="24">
        <v>200</v>
      </c>
      <c r="S92" s="24">
        <v>10</v>
      </c>
      <c r="T92" s="24">
        <f t="shared" ca="1" si="25"/>
        <v>420</v>
      </c>
    </row>
    <row r="93" spans="1:20" x14ac:dyDescent="0.45">
      <c r="A93" s="11">
        <v>80</v>
      </c>
      <c r="B93" s="11">
        <f t="shared" ca="1" si="13"/>
        <v>0.75154075195050385</v>
      </c>
      <c r="C93" s="11">
        <f t="shared" ca="1" si="14"/>
        <v>1500</v>
      </c>
      <c r="D93" s="11">
        <f t="shared" ca="1" si="15"/>
        <v>0.85274722177408679</v>
      </c>
      <c r="E93" s="11">
        <f t="shared" ca="1" si="16"/>
        <v>1700</v>
      </c>
      <c r="F93" s="11">
        <f t="shared" ca="1" si="17"/>
        <v>0.82536001911555679</v>
      </c>
      <c r="G93" s="11">
        <f t="shared" ca="1" si="18"/>
        <v>1600</v>
      </c>
      <c r="H93" s="11">
        <f t="shared" ca="1" si="19"/>
        <v>1500</v>
      </c>
      <c r="I93" s="11">
        <f t="shared" ca="1" si="20"/>
        <v>0.90197721599505232</v>
      </c>
      <c r="J93" s="11">
        <f t="shared" ca="1" si="21"/>
        <v>15</v>
      </c>
      <c r="K93" s="24">
        <v>96</v>
      </c>
      <c r="L93" s="24">
        <f t="shared" ca="1" si="22"/>
        <v>150</v>
      </c>
      <c r="M93" s="24">
        <v>400</v>
      </c>
      <c r="N93" s="24">
        <v>20</v>
      </c>
      <c r="O93" s="24">
        <f t="shared" ca="1" si="23"/>
        <v>666</v>
      </c>
      <c r="P93" s="24">
        <v>111</v>
      </c>
      <c r="Q93" s="11">
        <f t="shared" ca="1" si="24"/>
        <v>150</v>
      </c>
      <c r="R93" s="24">
        <v>200</v>
      </c>
      <c r="S93" s="24">
        <v>10</v>
      </c>
      <c r="T93" s="24">
        <f t="shared" ca="1" si="25"/>
        <v>471</v>
      </c>
    </row>
    <row r="94" spans="1:20" x14ac:dyDescent="0.45">
      <c r="A94" s="11">
        <v>81</v>
      </c>
      <c r="B94" s="11">
        <f t="shared" ca="1" si="13"/>
        <v>0.49478982920678583</v>
      </c>
      <c r="C94" s="11">
        <f t="shared" ca="1" si="14"/>
        <v>1300</v>
      </c>
      <c r="D94" s="11">
        <f t="shared" ca="1" si="15"/>
        <v>0.68664950565485672</v>
      </c>
      <c r="E94" s="11">
        <f t="shared" ca="1" si="16"/>
        <v>1400</v>
      </c>
      <c r="F94" s="11">
        <f t="shared" ca="1" si="17"/>
        <v>0.38764153939583135</v>
      </c>
      <c r="G94" s="11">
        <f t="shared" ca="1" si="18"/>
        <v>1200</v>
      </c>
      <c r="H94" s="11">
        <f t="shared" ca="1" si="19"/>
        <v>1200</v>
      </c>
      <c r="I94" s="11">
        <f t="shared" ca="1" si="20"/>
        <v>0.49158499353055607</v>
      </c>
      <c r="J94" s="11">
        <f t="shared" ca="1" si="21"/>
        <v>5</v>
      </c>
      <c r="K94" s="24">
        <v>96</v>
      </c>
      <c r="L94" s="24">
        <f t="shared" ca="1" si="22"/>
        <v>50</v>
      </c>
      <c r="M94" s="24">
        <v>400</v>
      </c>
      <c r="N94" s="24">
        <v>20</v>
      </c>
      <c r="O94" s="24">
        <f t="shared" ca="1" si="23"/>
        <v>566</v>
      </c>
      <c r="P94" s="24">
        <v>112</v>
      </c>
      <c r="Q94" s="11">
        <f t="shared" ca="1" si="24"/>
        <v>50</v>
      </c>
      <c r="R94" s="24">
        <v>200</v>
      </c>
      <c r="S94" s="24">
        <v>10</v>
      </c>
      <c r="T94" s="24">
        <f t="shared" ca="1" si="25"/>
        <v>372</v>
      </c>
    </row>
    <row r="95" spans="1:20" x14ac:dyDescent="0.45">
      <c r="A95" s="11">
        <v>82</v>
      </c>
      <c r="B95" s="11">
        <f t="shared" ca="1" si="13"/>
        <v>0.55364603049844741</v>
      </c>
      <c r="C95" s="11">
        <f t="shared" ca="1" si="14"/>
        <v>1300</v>
      </c>
      <c r="D95" s="11">
        <f t="shared" ca="1" si="15"/>
        <v>0.86138164814427032</v>
      </c>
      <c r="E95" s="11">
        <f t="shared" ca="1" si="16"/>
        <v>1700</v>
      </c>
      <c r="F95" s="11">
        <f t="shared" ca="1" si="17"/>
        <v>0.63246222742312019</v>
      </c>
      <c r="G95" s="11">
        <f t="shared" ca="1" si="18"/>
        <v>1400</v>
      </c>
      <c r="H95" s="11">
        <f t="shared" ca="1" si="19"/>
        <v>1300</v>
      </c>
      <c r="I95" s="11">
        <f t="shared" ca="1" si="20"/>
        <v>0.16843207655712944</v>
      </c>
      <c r="J95" s="11">
        <f t="shared" ca="1" si="21"/>
        <v>5</v>
      </c>
      <c r="K95" s="24">
        <v>96</v>
      </c>
      <c r="L95" s="24">
        <f t="shared" ca="1" si="22"/>
        <v>50</v>
      </c>
      <c r="M95" s="24">
        <v>400</v>
      </c>
      <c r="N95" s="24">
        <v>20</v>
      </c>
      <c r="O95" s="24">
        <f t="shared" ca="1" si="23"/>
        <v>566</v>
      </c>
      <c r="P95" s="24">
        <v>113</v>
      </c>
      <c r="Q95" s="11">
        <f t="shared" ca="1" si="24"/>
        <v>50</v>
      </c>
      <c r="R95" s="24">
        <v>200</v>
      </c>
      <c r="S95" s="24">
        <v>10</v>
      </c>
      <c r="T95" s="24">
        <f t="shared" ca="1" si="25"/>
        <v>373</v>
      </c>
    </row>
    <row r="96" spans="1:20" x14ac:dyDescent="0.45">
      <c r="A96" s="11">
        <v>83</v>
      </c>
      <c r="B96" s="11">
        <f t="shared" ca="1" si="13"/>
        <v>3.3576543001740289E-2</v>
      </c>
      <c r="C96" s="11">
        <f t="shared" ca="1" si="14"/>
        <v>1000</v>
      </c>
      <c r="D96" s="11">
        <f t="shared" ca="1" si="15"/>
        <v>0.77294146502835726</v>
      </c>
      <c r="E96" s="11">
        <f t="shared" ca="1" si="16"/>
        <v>1500</v>
      </c>
      <c r="F96" s="11">
        <f t="shared" ca="1" si="17"/>
        <v>0.73369028993332763</v>
      </c>
      <c r="G96" s="11">
        <f t="shared" ca="1" si="18"/>
        <v>1500</v>
      </c>
      <c r="H96" s="11">
        <f t="shared" ca="1" si="19"/>
        <v>1000</v>
      </c>
      <c r="I96" s="11">
        <f t="shared" ca="1" si="20"/>
        <v>4.1858287854134701E-2</v>
      </c>
      <c r="J96" s="11">
        <f t="shared" ca="1" si="21"/>
        <v>5</v>
      </c>
      <c r="K96" s="24">
        <v>96</v>
      </c>
      <c r="L96" s="24">
        <f t="shared" ca="1" si="22"/>
        <v>50</v>
      </c>
      <c r="M96" s="24">
        <v>400</v>
      </c>
      <c r="N96" s="24">
        <v>20</v>
      </c>
      <c r="O96" s="24">
        <f t="shared" ca="1" si="23"/>
        <v>566</v>
      </c>
      <c r="P96" s="24">
        <v>114</v>
      </c>
      <c r="Q96" s="11">
        <f t="shared" ca="1" si="24"/>
        <v>50</v>
      </c>
      <c r="R96" s="24">
        <v>200</v>
      </c>
      <c r="S96" s="24">
        <v>10</v>
      </c>
      <c r="T96" s="24">
        <f t="shared" ca="1" si="25"/>
        <v>374</v>
      </c>
    </row>
    <row r="97" spans="1:20" x14ac:dyDescent="0.45">
      <c r="A97" s="11">
        <v>84</v>
      </c>
      <c r="B97" s="11">
        <f t="shared" ca="1" si="13"/>
        <v>0.87838183978922468</v>
      </c>
      <c r="C97" s="11">
        <f t="shared" ca="1" si="14"/>
        <v>1700</v>
      </c>
      <c r="D97" s="11">
        <f t="shared" ca="1" si="15"/>
        <v>0.94346712576794312</v>
      </c>
      <c r="E97" s="11">
        <f t="shared" ca="1" si="16"/>
        <v>1800</v>
      </c>
      <c r="F97" s="11">
        <f t="shared" ca="1" si="17"/>
        <v>0.49517071978277327</v>
      </c>
      <c r="G97" s="11">
        <f t="shared" ca="1" si="18"/>
        <v>1300</v>
      </c>
      <c r="H97" s="11">
        <f t="shared" ca="1" si="19"/>
        <v>1300</v>
      </c>
      <c r="I97" s="11">
        <f t="shared" ca="1" si="20"/>
        <v>0.74828680239210577</v>
      </c>
      <c r="J97" s="11">
        <f t="shared" ca="1" si="21"/>
        <v>10</v>
      </c>
      <c r="K97" s="24">
        <v>96</v>
      </c>
      <c r="L97" s="24">
        <f t="shared" ca="1" si="22"/>
        <v>100</v>
      </c>
      <c r="M97" s="24">
        <v>400</v>
      </c>
      <c r="N97" s="24">
        <v>20</v>
      </c>
      <c r="O97" s="24">
        <f t="shared" ca="1" si="23"/>
        <v>616</v>
      </c>
      <c r="P97" s="24">
        <v>115</v>
      </c>
      <c r="Q97" s="11">
        <f t="shared" ca="1" si="24"/>
        <v>100</v>
      </c>
      <c r="R97" s="24">
        <v>200</v>
      </c>
      <c r="S97" s="24">
        <v>10</v>
      </c>
      <c r="T97" s="24">
        <f t="shared" ca="1" si="25"/>
        <v>425</v>
      </c>
    </row>
    <row r="98" spans="1:20" x14ac:dyDescent="0.45">
      <c r="A98" s="11">
        <v>85</v>
      </c>
      <c r="B98" s="11">
        <f t="shared" ca="1" si="13"/>
        <v>0.6371920892535955</v>
      </c>
      <c r="C98" s="11">
        <f t="shared" ca="1" si="14"/>
        <v>1400</v>
      </c>
      <c r="D98" s="11">
        <f t="shared" ca="1" si="15"/>
        <v>0.61251171907929003</v>
      </c>
      <c r="E98" s="11">
        <f t="shared" ca="1" si="16"/>
        <v>1400</v>
      </c>
      <c r="F98" s="11">
        <f t="shared" ca="1" si="17"/>
        <v>0.89113196335586276</v>
      </c>
      <c r="G98" s="11">
        <f t="shared" ca="1" si="18"/>
        <v>1700</v>
      </c>
      <c r="H98" s="11">
        <f t="shared" ca="1" si="19"/>
        <v>1400</v>
      </c>
      <c r="I98" s="11">
        <f t="shared" ca="1" si="20"/>
        <v>0.18783091682639064</v>
      </c>
      <c r="J98" s="11">
        <f t="shared" ca="1" si="21"/>
        <v>5</v>
      </c>
      <c r="K98" s="24">
        <v>96</v>
      </c>
      <c r="L98" s="24">
        <f t="shared" ca="1" si="22"/>
        <v>50</v>
      </c>
      <c r="M98" s="24">
        <v>400</v>
      </c>
      <c r="N98" s="24">
        <v>20</v>
      </c>
      <c r="O98" s="24">
        <f t="shared" ca="1" si="23"/>
        <v>566</v>
      </c>
      <c r="P98" s="24">
        <v>116</v>
      </c>
      <c r="Q98" s="11">
        <f t="shared" ca="1" si="24"/>
        <v>50</v>
      </c>
      <c r="R98" s="24">
        <v>200</v>
      </c>
      <c r="S98" s="24">
        <v>10</v>
      </c>
      <c r="T98" s="24">
        <f t="shared" ca="1" si="25"/>
        <v>376</v>
      </c>
    </row>
    <row r="99" spans="1:20" x14ac:dyDescent="0.45">
      <c r="A99" s="11">
        <v>86</v>
      </c>
      <c r="B99" s="11">
        <f t="shared" ca="1" si="13"/>
        <v>0.15667545720268217</v>
      </c>
      <c r="C99" s="11">
        <f t="shared" ca="1" si="14"/>
        <v>1100</v>
      </c>
      <c r="D99" s="11">
        <f t="shared" ca="1" si="15"/>
        <v>0.19430613684227671</v>
      </c>
      <c r="E99" s="11">
        <f t="shared" ca="1" si="16"/>
        <v>1100</v>
      </c>
      <c r="F99" s="11">
        <f t="shared" ca="1" si="17"/>
        <v>0.68358300519110571</v>
      </c>
      <c r="G99" s="11">
        <f t="shared" ca="1" si="18"/>
        <v>1400</v>
      </c>
      <c r="H99" s="11">
        <f t="shared" ca="1" si="19"/>
        <v>1100</v>
      </c>
      <c r="I99" s="11">
        <f t="shared" ca="1" si="20"/>
        <v>0.62339475551625734</v>
      </c>
      <c r="J99" s="11">
        <f t="shared" ca="1" si="21"/>
        <v>10</v>
      </c>
      <c r="K99" s="24">
        <v>96</v>
      </c>
      <c r="L99" s="24">
        <f t="shared" ca="1" si="22"/>
        <v>100</v>
      </c>
      <c r="M99" s="24">
        <v>400</v>
      </c>
      <c r="N99" s="24">
        <v>20</v>
      </c>
      <c r="O99" s="24">
        <f t="shared" ca="1" si="23"/>
        <v>616</v>
      </c>
      <c r="P99" s="24">
        <v>117</v>
      </c>
      <c r="Q99" s="11">
        <f t="shared" ca="1" si="24"/>
        <v>100</v>
      </c>
      <c r="R99" s="24">
        <v>200</v>
      </c>
      <c r="S99" s="24">
        <v>10</v>
      </c>
      <c r="T99" s="24">
        <f t="shared" ca="1" si="25"/>
        <v>427</v>
      </c>
    </row>
    <row r="100" spans="1:20" x14ac:dyDescent="0.45">
      <c r="A100" s="11">
        <v>87</v>
      </c>
      <c r="B100" s="11">
        <f t="shared" ca="1" si="13"/>
        <v>0.65980367827475195</v>
      </c>
      <c r="C100" s="11">
        <f t="shared" ca="1" si="14"/>
        <v>1400</v>
      </c>
      <c r="D100" s="11">
        <f t="shared" ca="1" si="15"/>
        <v>0.77863436909802586</v>
      </c>
      <c r="E100" s="11">
        <f t="shared" ca="1" si="16"/>
        <v>1500</v>
      </c>
      <c r="F100" s="11">
        <f t="shared" ca="1" si="17"/>
        <v>0.22114725516057299</v>
      </c>
      <c r="G100" s="11">
        <f t="shared" ca="1" si="18"/>
        <v>1100</v>
      </c>
      <c r="H100" s="11">
        <f t="shared" ca="1" si="19"/>
        <v>1100</v>
      </c>
      <c r="I100" s="11">
        <f t="shared" ca="1" si="20"/>
        <v>0.52140341200368978</v>
      </c>
      <c r="J100" s="11">
        <f t="shared" ca="1" si="21"/>
        <v>5</v>
      </c>
      <c r="K100" s="24">
        <v>96</v>
      </c>
      <c r="L100" s="24">
        <f t="shared" ca="1" si="22"/>
        <v>50</v>
      </c>
      <c r="M100" s="24">
        <v>400</v>
      </c>
      <c r="N100" s="24">
        <v>20</v>
      </c>
      <c r="O100" s="24">
        <f t="shared" ca="1" si="23"/>
        <v>566</v>
      </c>
      <c r="P100" s="24">
        <v>118</v>
      </c>
      <c r="Q100" s="11">
        <f t="shared" ca="1" si="24"/>
        <v>50</v>
      </c>
      <c r="R100" s="24">
        <v>200</v>
      </c>
      <c r="S100" s="24">
        <v>10</v>
      </c>
      <c r="T100" s="24">
        <f t="shared" ca="1" si="25"/>
        <v>378</v>
      </c>
    </row>
    <row r="101" spans="1:20" x14ac:dyDescent="0.45">
      <c r="A101" s="11">
        <v>88</v>
      </c>
      <c r="B101" s="11">
        <f t="shared" ca="1" si="13"/>
        <v>0.44569435289336057</v>
      </c>
      <c r="C101" s="11">
        <f t="shared" ca="1" si="14"/>
        <v>1200</v>
      </c>
      <c r="D101" s="11">
        <f t="shared" ca="1" si="15"/>
        <v>0.89581449174083172</v>
      </c>
      <c r="E101" s="11">
        <f t="shared" ca="1" si="16"/>
        <v>1700</v>
      </c>
      <c r="F101" s="11">
        <f t="shared" ca="1" si="17"/>
        <v>0.77731754789761998</v>
      </c>
      <c r="G101" s="11">
        <f t="shared" ca="1" si="18"/>
        <v>1500</v>
      </c>
      <c r="H101" s="11">
        <f t="shared" ca="1" si="19"/>
        <v>1200</v>
      </c>
      <c r="I101" s="11">
        <f t="shared" ca="1" si="20"/>
        <v>0.48942570066145763</v>
      </c>
      <c r="J101" s="11">
        <f t="shared" ca="1" si="21"/>
        <v>5</v>
      </c>
      <c r="K101" s="24">
        <v>96</v>
      </c>
      <c r="L101" s="24">
        <f t="shared" ca="1" si="22"/>
        <v>50</v>
      </c>
      <c r="M101" s="24">
        <v>400</v>
      </c>
      <c r="N101" s="24">
        <v>20</v>
      </c>
      <c r="O101" s="24">
        <f t="shared" ca="1" si="23"/>
        <v>566</v>
      </c>
      <c r="P101" s="24">
        <v>119</v>
      </c>
      <c r="Q101" s="11">
        <f t="shared" ca="1" si="24"/>
        <v>50</v>
      </c>
      <c r="R101" s="24">
        <v>200</v>
      </c>
      <c r="S101" s="24">
        <v>10</v>
      </c>
      <c r="T101" s="24">
        <f t="shared" ca="1" si="25"/>
        <v>379</v>
      </c>
    </row>
    <row r="102" spans="1:20" x14ac:dyDescent="0.45">
      <c r="A102" s="11">
        <v>89</v>
      </c>
      <c r="B102" s="11">
        <f t="shared" ca="1" si="13"/>
        <v>0.44010061075024876</v>
      </c>
      <c r="C102" s="11">
        <f t="shared" ca="1" si="14"/>
        <v>1200</v>
      </c>
      <c r="D102" s="11">
        <f t="shared" ca="1" si="15"/>
        <v>0.38489840502071093</v>
      </c>
      <c r="E102" s="11">
        <f t="shared" ca="1" si="16"/>
        <v>1200</v>
      </c>
      <c r="F102" s="11">
        <f t="shared" ca="1" si="17"/>
        <v>0.60626104340553022</v>
      </c>
      <c r="G102" s="11">
        <f t="shared" ca="1" si="18"/>
        <v>1300</v>
      </c>
      <c r="H102" s="11">
        <f t="shared" ca="1" si="19"/>
        <v>1200</v>
      </c>
      <c r="I102" s="11">
        <f t="shared" ca="1" si="20"/>
        <v>0.13292471515377402</v>
      </c>
      <c r="J102" s="11">
        <f t="shared" ca="1" si="21"/>
        <v>5</v>
      </c>
      <c r="K102" s="24">
        <v>96</v>
      </c>
      <c r="L102" s="24">
        <f t="shared" ca="1" si="22"/>
        <v>50</v>
      </c>
      <c r="M102" s="24">
        <v>400</v>
      </c>
      <c r="N102" s="24">
        <v>20</v>
      </c>
      <c r="O102" s="24">
        <f t="shared" ca="1" si="23"/>
        <v>566</v>
      </c>
      <c r="P102" s="24">
        <v>120</v>
      </c>
      <c r="Q102" s="11">
        <f t="shared" ca="1" si="24"/>
        <v>50</v>
      </c>
      <c r="R102" s="24">
        <v>200</v>
      </c>
      <c r="S102" s="24">
        <v>10</v>
      </c>
      <c r="T102" s="24">
        <f t="shared" ca="1" si="25"/>
        <v>380</v>
      </c>
    </row>
    <row r="103" spans="1:20" x14ac:dyDescent="0.45">
      <c r="A103" s="11">
        <v>90</v>
      </c>
      <c r="B103" s="11">
        <f t="shared" ca="1" si="13"/>
        <v>0.44415854962609447</v>
      </c>
      <c r="C103" s="11">
        <f t="shared" ca="1" si="14"/>
        <v>1200</v>
      </c>
      <c r="D103" s="11">
        <f t="shared" ca="1" si="15"/>
        <v>0.49081575620785567</v>
      </c>
      <c r="E103" s="11">
        <f t="shared" ca="1" si="16"/>
        <v>1300</v>
      </c>
      <c r="F103" s="11">
        <f t="shared" ca="1" si="17"/>
        <v>8.2100646879863737E-2</v>
      </c>
      <c r="G103" s="11">
        <f t="shared" ca="1" si="18"/>
        <v>1000</v>
      </c>
      <c r="H103" s="11">
        <f t="shared" ca="1" si="19"/>
        <v>1000</v>
      </c>
      <c r="I103" s="11">
        <f t="shared" ca="1" si="20"/>
        <v>0.86382874430282963</v>
      </c>
      <c r="J103" s="11">
        <f t="shared" ca="1" si="21"/>
        <v>10</v>
      </c>
      <c r="K103" s="24">
        <v>96</v>
      </c>
      <c r="L103" s="24">
        <f t="shared" ca="1" si="22"/>
        <v>100</v>
      </c>
      <c r="M103" s="24">
        <v>400</v>
      </c>
      <c r="N103" s="24">
        <v>20</v>
      </c>
      <c r="O103" s="24">
        <f t="shared" ca="1" si="23"/>
        <v>616</v>
      </c>
      <c r="P103" s="24">
        <v>121</v>
      </c>
      <c r="Q103" s="11">
        <f t="shared" ca="1" si="24"/>
        <v>100</v>
      </c>
      <c r="R103" s="24">
        <v>200</v>
      </c>
      <c r="S103" s="24">
        <v>10</v>
      </c>
      <c r="T103" s="24">
        <f t="shared" ca="1" si="25"/>
        <v>431</v>
      </c>
    </row>
    <row r="104" spans="1:20" x14ac:dyDescent="0.45">
      <c r="A104" s="11">
        <v>91</v>
      </c>
      <c r="B104" s="11">
        <f t="shared" ca="1" si="13"/>
        <v>0.50497313937335331</v>
      </c>
      <c r="C104" s="11">
        <f t="shared" ca="1" si="14"/>
        <v>1300</v>
      </c>
      <c r="D104" s="11">
        <f t="shared" ca="1" si="15"/>
        <v>9.4647588957706974E-2</v>
      </c>
      <c r="E104" s="11">
        <f t="shared" ca="1" si="16"/>
        <v>1000</v>
      </c>
      <c r="F104" s="11">
        <f t="shared" ca="1" si="17"/>
        <v>0.15610014700283537</v>
      </c>
      <c r="G104" s="11">
        <f t="shared" ca="1" si="18"/>
        <v>1100</v>
      </c>
      <c r="H104" s="11">
        <f t="shared" ca="1" si="19"/>
        <v>1000</v>
      </c>
      <c r="I104" s="11">
        <f t="shared" ca="1" si="20"/>
        <v>0.41666309314209504</v>
      </c>
      <c r="J104" s="11">
        <f t="shared" ca="1" si="21"/>
        <v>5</v>
      </c>
      <c r="K104" s="24">
        <v>96</v>
      </c>
      <c r="L104" s="24">
        <f t="shared" ca="1" si="22"/>
        <v>50</v>
      </c>
      <c r="M104" s="24">
        <v>400</v>
      </c>
      <c r="N104" s="24">
        <v>20</v>
      </c>
      <c r="O104" s="24">
        <f t="shared" ca="1" si="23"/>
        <v>566</v>
      </c>
      <c r="P104" s="24">
        <v>122</v>
      </c>
      <c r="Q104" s="11">
        <f t="shared" ca="1" si="24"/>
        <v>50</v>
      </c>
      <c r="R104" s="24">
        <v>200</v>
      </c>
      <c r="S104" s="24">
        <v>10</v>
      </c>
      <c r="T104" s="24">
        <f t="shared" ca="1" si="25"/>
        <v>382</v>
      </c>
    </row>
    <row r="105" spans="1:20" x14ac:dyDescent="0.45">
      <c r="A105" s="11">
        <v>92</v>
      </c>
      <c r="B105" s="11">
        <f t="shared" ca="1" si="13"/>
        <v>0.62153321622299429</v>
      </c>
      <c r="C105" s="11">
        <f t="shared" ca="1" si="14"/>
        <v>1400</v>
      </c>
      <c r="D105" s="11">
        <f t="shared" ca="1" si="15"/>
        <v>0.78926694852114088</v>
      </c>
      <c r="E105" s="11">
        <f t="shared" ca="1" si="16"/>
        <v>1500</v>
      </c>
      <c r="F105" s="11">
        <f t="shared" ca="1" si="17"/>
        <v>0.71430969039104819</v>
      </c>
      <c r="G105" s="11">
        <f t="shared" ca="1" si="18"/>
        <v>1500</v>
      </c>
      <c r="H105" s="11">
        <f t="shared" ca="1" si="19"/>
        <v>1400</v>
      </c>
      <c r="I105" s="11">
        <f t="shared" ca="1" si="20"/>
        <v>0.2419068226137856</v>
      </c>
      <c r="J105" s="11">
        <f t="shared" ca="1" si="21"/>
        <v>5</v>
      </c>
      <c r="K105" s="24">
        <v>96</v>
      </c>
      <c r="L105" s="24">
        <f t="shared" ca="1" si="22"/>
        <v>50</v>
      </c>
      <c r="M105" s="24">
        <v>400</v>
      </c>
      <c r="N105" s="24">
        <v>20</v>
      </c>
      <c r="O105" s="24">
        <f t="shared" ca="1" si="23"/>
        <v>566</v>
      </c>
      <c r="P105" s="24">
        <v>123</v>
      </c>
      <c r="Q105" s="11">
        <f t="shared" ca="1" si="24"/>
        <v>50</v>
      </c>
      <c r="R105" s="24">
        <v>200</v>
      </c>
      <c r="S105" s="24">
        <v>10</v>
      </c>
      <c r="T105" s="24">
        <f t="shared" ca="1" si="25"/>
        <v>383</v>
      </c>
    </row>
    <row r="106" spans="1:20" x14ac:dyDescent="0.45">
      <c r="A106" s="11">
        <v>93</v>
      </c>
      <c r="B106" s="11">
        <f t="shared" ca="1" si="13"/>
        <v>0.41203962932025573</v>
      </c>
      <c r="C106" s="11">
        <f t="shared" ca="1" si="14"/>
        <v>1200</v>
      </c>
      <c r="D106" s="11">
        <f t="shared" ca="1" si="15"/>
        <v>0.76197167942271493</v>
      </c>
      <c r="E106" s="11">
        <f t="shared" ca="1" si="16"/>
        <v>1500</v>
      </c>
      <c r="F106" s="11">
        <f t="shared" ca="1" si="17"/>
        <v>0.48643751885460795</v>
      </c>
      <c r="G106" s="11">
        <f t="shared" ca="1" si="18"/>
        <v>1300</v>
      </c>
      <c r="H106" s="11">
        <f t="shared" ca="1" si="19"/>
        <v>1200</v>
      </c>
      <c r="I106" s="11">
        <f t="shared" ca="1" si="20"/>
        <v>0.53229740522526636</v>
      </c>
      <c r="J106" s="11">
        <f t="shared" ca="1" si="21"/>
        <v>5</v>
      </c>
      <c r="K106" s="24">
        <v>96</v>
      </c>
      <c r="L106" s="24">
        <f t="shared" ca="1" si="22"/>
        <v>50</v>
      </c>
      <c r="M106" s="24">
        <v>400</v>
      </c>
      <c r="N106" s="24">
        <v>20</v>
      </c>
      <c r="O106" s="24">
        <f t="shared" ca="1" si="23"/>
        <v>566</v>
      </c>
      <c r="P106" s="24">
        <v>124</v>
      </c>
      <c r="Q106" s="11">
        <f t="shared" ca="1" si="24"/>
        <v>50</v>
      </c>
      <c r="R106" s="24">
        <v>200</v>
      </c>
      <c r="S106" s="24">
        <v>10</v>
      </c>
      <c r="T106" s="24">
        <f t="shared" ca="1" si="25"/>
        <v>384</v>
      </c>
    </row>
    <row r="107" spans="1:20" x14ac:dyDescent="0.45">
      <c r="A107" s="11">
        <v>94</v>
      </c>
      <c r="B107" s="11">
        <f t="shared" ca="1" si="13"/>
        <v>0.85872162605977909</v>
      </c>
      <c r="C107" s="11">
        <f t="shared" ca="1" si="14"/>
        <v>1700</v>
      </c>
      <c r="D107" s="11">
        <f t="shared" ca="1" si="15"/>
        <v>5.7669785457236777E-2</v>
      </c>
      <c r="E107" s="11">
        <f t="shared" ca="1" si="16"/>
        <v>1000</v>
      </c>
      <c r="F107" s="11">
        <f t="shared" ca="1" si="17"/>
        <v>0.48001311372263222</v>
      </c>
      <c r="G107" s="11">
        <f t="shared" ca="1" si="18"/>
        <v>1300</v>
      </c>
      <c r="H107" s="11">
        <f t="shared" ca="1" si="19"/>
        <v>1000</v>
      </c>
      <c r="I107" s="11">
        <f t="shared" ca="1" si="20"/>
        <v>0.87154488895088944</v>
      </c>
      <c r="J107" s="11">
        <f t="shared" ca="1" si="21"/>
        <v>10</v>
      </c>
      <c r="K107" s="24">
        <v>96</v>
      </c>
      <c r="L107" s="24">
        <f t="shared" ca="1" si="22"/>
        <v>100</v>
      </c>
      <c r="M107" s="24">
        <v>400</v>
      </c>
      <c r="N107" s="24">
        <v>20</v>
      </c>
      <c r="O107" s="24">
        <f t="shared" ca="1" si="23"/>
        <v>616</v>
      </c>
      <c r="P107" s="24">
        <v>125</v>
      </c>
      <c r="Q107" s="11">
        <f t="shared" ca="1" si="24"/>
        <v>100</v>
      </c>
      <c r="R107" s="24">
        <v>200</v>
      </c>
      <c r="S107" s="24">
        <v>10</v>
      </c>
      <c r="T107" s="24">
        <f t="shared" ca="1" si="25"/>
        <v>435</v>
      </c>
    </row>
    <row r="108" spans="1:20" x14ac:dyDescent="0.45">
      <c r="A108" s="11">
        <v>95</v>
      </c>
      <c r="B108" s="11">
        <f t="shared" ca="1" si="13"/>
        <v>0.70041811324910086</v>
      </c>
      <c r="C108" s="11">
        <f t="shared" ca="1" si="14"/>
        <v>1500</v>
      </c>
      <c r="D108" s="11">
        <f t="shared" ca="1" si="15"/>
        <v>0.65125849232053989</v>
      </c>
      <c r="E108" s="11">
        <f t="shared" ca="1" si="16"/>
        <v>1400</v>
      </c>
      <c r="F108" s="11">
        <f t="shared" ca="1" si="17"/>
        <v>0.54099052789677637</v>
      </c>
      <c r="G108" s="11">
        <f t="shared" ca="1" si="18"/>
        <v>1300</v>
      </c>
      <c r="H108" s="11">
        <f t="shared" ca="1" si="19"/>
        <v>1300</v>
      </c>
      <c r="I108" s="11">
        <f t="shared" ca="1" si="20"/>
        <v>0.87351010097007098</v>
      </c>
      <c r="J108" s="11">
        <f t="shared" ca="1" si="21"/>
        <v>10</v>
      </c>
      <c r="K108" s="24">
        <v>96</v>
      </c>
      <c r="L108" s="24">
        <f t="shared" ca="1" si="22"/>
        <v>100</v>
      </c>
      <c r="M108" s="24">
        <v>400</v>
      </c>
      <c r="N108" s="24">
        <v>20</v>
      </c>
      <c r="O108" s="24">
        <f t="shared" ca="1" si="23"/>
        <v>616</v>
      </c>
      <c r="P108" s="24">
        <v>126</v>
      </c>
      <c r="Q108" s="11">
        <f t="shared" ca="1" si="24"/>
        <v>100</v>
      </c>
      <c r="R108" s="24">
        <v>200</v>
      </c>
      <c r="S108" s="24">
        <v>10</v>
      </c>
      <c r="T108" s="24">
        <f t="shared" ca="1" si="25"/>
        <v>436</v>
      </c>
    </row>
    <row r="109" spans="1:20" x14ac:dyDescent="0.45">
      <c r="A109" s="11">
        <v>96</v>
      </c>
      <c r="B109" s="11">
        <f t="shared" ca="1" si="13"/>
        <v>5.5834059882191034E-2</v>
      </c>
      <c r="C109" s="11">
        <f t="shared" ca="1" si="14"/>
        <v>1000</v>
      </c>
      <c r="D109" s="11">
        <f t="shared" ca="1" si="15"/>
        <v>0.20897362520731833</v>
      </c>
      <c r="E109" s="11">
        <f t="shared" ca="1" si="16"/>
        <v>1100</v>
      </c>
      <c r="F109" s="11">
        <f t="shared" ca="1" si="17"/>
        <v>0.82970874237266867</v>
      </c>
      <c r="G109" s="11">
        <f t="shared" ca="1" si="18"/>
        <v>1600</v>
      </c>
      <c r="H109" s="11">
        <f t="shared" ca="1" si="19"/>
        <v>1000</v>
      </c>
      <c r="I109" s="11">
        <f t="shared" ca="1" si="20"/>
        <v>4.0182461983708118E-2</v>
      </c>
      <c r="J109" s="11">
        <f t="shared" ca="1" si="21"/>
        <v>5</v>
      </c>
      <c r="K109" s="24">
        <v>96</v>
      </c>
      <c r="L109" s="24">
        <f t="shared" ca="1" si="22"/>
        <v>50</v>
      </c>
      <c r="M109" s="24">
        <v>400</v>
      </c>
      <c r="N109" s="24">
        <v>20</v>
      </c>
      <c r="O109" s="24">
        <f t="shared" ca="1" si="23"/>
        <v>566</v>
      </c>
      <c r="P109" s="24">
        <v>127</v>
      </c>
      <c r="Q109" s="11">
        <f t="shared" ca="1" si="24"/>
        <v>50</v>
      </c>
      <c r="R109" s="24">
        <v>200</v>
      </c>
      <c r="S109" s="24">
        <v>10</v>
      </c>
      <c r="T109" s="24">
        <f t="shared" ca="1" si="25"/>
        <v>387</v>
      </c>
    </row>
    <row r="110" spans="1:20" x14ac:dyDescent="0.45">
      <c r="A110" s="11">
        <v>97</v>
      </c>
      <c r="B110" s="11">
        <f t="shared" ca="1" si="13"/>
        <v>0.97439806891191927</v>
      </c>
      <c r="C110" s="11">
        <f t="shared" ca="1" si="14"/>
        <v>1900</v>
      </c>
      <c r="D110" s="11">
        <f t="shared" ca="1" si="15"/>
        <v>0.80000291875034746</v>
      </c>
      <c r="E110" s="11">
        <f t="shared" ca="1" si="16"/>
        <v>1500</v>
      </c>
      <c r="F110" s="11">
        <f t="shared" ca="1" si="17"/>
        <v>0.17960792643323598</v>
      </c>
      <c r="G110" s="11">
        <f t="shared" ca="1" si="18"/>
        <v>1100</v>
      </c>
      <c r="H110" s="11">
        <f t="shared" ca="1" si="19"/>
        <v>1100</v>
      </c>
      <c r="I110" s="11">
        <f t="shared" ca="1" si="20"/>
        <v>0.86534364200260649</v>
      </c>
      <c r="J110" s="11">
        <f t="shared" ca="1" si="21"/>
        <v>10</v>
      </c>
      <c r="K110" s="24">
        <v>96</v>
      </c>
      <c r="L110" s="24">
        <f t="shared" ca="1" si="22"/>
        <v>100</v>
      </c>
      <c r="M110" s="24">
        <v>400</v>
      </c>
      <c r="N110" s="24">
        <v>20</v>
      </c>
      <c r="O110" s="24">
        <f t="shared" ca="1" si="23"/>
        <v>616</v>
      </c>
      <c r="P110" s="24">
        <v>128</v>
      </c>
      <c r="Q110" s="11">
        <f t="shared" ca="1" si="24"/>
        <v>100</v>
      </c>
      <c r="R110" s="24">
        <v>200</v>
      </c>
      <c r="S110" s="24">
        <v>10</v>
      </c>
      <c r="T110" s="24">
        <f t="shared" ca="1" si="25"/>
        <v>438</v>
      </c>
    </row>
    <row r="111" spans="1:20" x14ac:dyDescent="0.45">
      <c r="A111" s="11">
        <v>98</v>
      </c>
      <c r="B111" s="11">
        <f t="shared" ca="1" si="13"/>
        <v>0.2103952846448337</v>
      </c>
      <c r="C111" s="11">
        <f t="shared" ca="1" si="14"/>
        <v>1100</v>
      </c>
      <c r="D111" s="11">
        <f t="shared" ca="1" si="15"/>
        <v>0.27898570870581063</v>
      </c>
      <c r="E111" s="11">
        <f t="shared" ca="1" si="16"/>
        <v>1200</v>
      </c>
      <c r="F111" s="11">
        <f t="shared" ca="1" si="17"/>
        <v>0.85248305485330655</v>
      </c>
      <c r="G111" s="11">
        <f t="shared" ca="1" si="18"/>
        <v>1700</v>
      </c>
      <c r="H111" s="11">
        <f t="shared" ca="1" si="19"/>
        <v>1100</v>
      </c>
      <c r="I111" s="11">
        <f t="shared" ca="1" si="20"/>
        <v>0.95615144736370472</v>
      </c>
      <c r="J111" s="11">
        <f t="shared" ca="1" si="21"/>
        <v>15</v>
      </c>
      <c r="K111" s="24">
        <v>96</v>
      </c>
      <c r="L111" s="24">
        <f t="shared" ca="1" si="22"/>
        <v>150</v>
      </c>
      <c r="M111" s="24">
        <v>400</v>
      </c>
      <c r="N111" s="24">
        <v>20</v>
      </c>
      <c r="O111" s="24">
        <f t="shared" ca="1" si="23"/>
        <v>666</v>
      </c>
      <c r="P111" s="24">
        <v>129</v>
      </c>
      <c r="Q111" s="11">
        <f t="shared" ca="1" si="24"/>
        <v>150</v>
      </c>
      <c r="R111" s="24">
        <v>200</v>
      </c>
      <c r="S111" s="24">
        <v>10</v>
      </c>
      <c r="T111" s="24">
        <f t="shared" ca="1" si="25"/>
        <v>489</v>
      </c>
    </row>
    <row r="112" spans="1:20" x14ac:dyDescent="0.45">
      <c r="A112" s="11">
        <v>99</v>
      </c>
      <c r="B112" s="11">
        <f t="shared" ca="1" si="13"/>
        <v>0.92512619089561898</v>
      </c>
      <c r="C112" s="11">
        <f t="shared" ca="1" si="14"/>
        <v>1800</v>
      </c>
      <c r="D112" s="11">
        <f t="shared" ca="1" si="15"/>
        <v>0.40151429077624823</v>
      </c>
      <c r="E112" s="11">
        <f t="shared" ca="1" si="16"/>
        <v>1200</v>
      </c>
      <c r="F112" s="11">
        <f t="shared" ca="1" si="17"/>
        <v>0.64941099453428552</v>
      </c>
      <c r="G112" s="11">
        <f t="shared" ca="1" si="18"/>
        <v>1400</v>
      </c>
      <c r="H112" s="11">
        <f t="shared" ca="1" si="19"/>
        <v>1200</v>
      </c>
      <c r="I112" s="11">
        <f t="shared" ca="1" si="20"/>
        <v>0.87256887072678802</v>
      </c>
      <c r="J112" s="11">
        <f t="shared" ca="1" si="21"/>
        <v>10</v>
      </c>
      <c r="K112" s="24">
        <v>96</v>
      </c>
      <c r="L112" s="24">
        <f t="shared" ca="1" si="22"/>
        <v>100</v>
      </c>
      <c r="M112" s="24">
        <v>400</v>
      </c>
      <c r="N112" s="24">
        <v>20</v>
      </c>
      <c r="O112" s="24">
        <f t="shared" ca="1" si="23"/>
        <v>616</v>
      </c>
      <c r="P112" s="24">
        <v>130</v>
      </c>
      <c r="Q112" s="11">
        <f t="shared" ca="1" si="24"/>
        <v>100</v>
      </c>
      <c r="R112" s="24">
        <v>200</v>
      </c>
      <c r="S112" s="24">
        <v>10</v>
      </c>
      <c r="T112" s="24">
        <f t="shared" ca="1" si="25"/>
        <v>440</v>
      </c>
    </row>
    <row r="113" spans="1:20" x14ac:dyDescent="0.45">
      <c r="A113" s="11">
        <v>100</v>
      </c>
      <c r="B113" s="11">
        <f t="shared" ca="1" si="13"/>
        <v>0.6672911291508824</v>
      </c>
      <c r="C113" s="11">
        <f t="shared" ca="1" si="14"/>
        <v>1400</v>
      </c>
      <c r="D113" s="11">
        <f t="shared" ca="1" si="15"/>
        <v>0.89376638575221656</v>
      </c>
      <c r="E113" s="11">
        <f t="shared" ca="1" si="16"/>
        <v>1700</v>
      </c>
      <c r="F113" s="11">
        <f t="shared" ca="1" si="17"/>
        <v>7.5647783218679598E-2</v>
      </c>
      <c r="G113" s="11">
        <f t="shared" ca="1" si="18"/>
        <v>1000</v>
      </c>
      <c r="H113" s="11">
        <f t="shared" ca="1" si="19"/>
        <v>1000</v>
      </c>
      <c r="I113" s="11">
        <f t="shared" ca="1" si="20"/>
        <v>0.39648403263968679</v>
      </c>
      <c r="J113" s="11">
        <f t="shared" ca="1" si="21"/>
        <v>5</v>
      </c>
      <c r="K113" s="24">
        <v>96</v>
      </c>
      <c r="L113" s="24">
        <f t="shared" ca="1" si="22"/>
        <v>50</v>
      </c>
      <c r="M113" s="24">
        <v>400</v>
      </c>
      <c r="N113" s="24">
        <v>20</v>
      </c>
      <c r="O113" s="24">
        <f t="shared" ca="1" si="23"/>
        <v>566</v>
      </c>
      <c r="P113" s="24">
        <v>131</v>
      </c>
      <c r="Q113" s="11">
        <f t="shared" ca="1" si="24"/>
        <v>50</v>
      </c>
      <c r="R113" s="24">
        <v>200</v>
      </c>
      <c r="S113" s="24">
        <v>10</v>
      </c>
      <c r="T113" s="24">
        <f t="shared" ca="1" si="25"/>
        <v>391</v>
      </c>
    </row>
    <row r="114" spans="1:20" x14ac:dyDescent="0.45">
      <c r="A114" s="11">
        <v>101</v>
      </c>
      <c r="B114" s="11">
        <f t="shared" ca="1" si="13"/>
        <v>0.46154127221764407</v>
      </c>
      <c r="C114" s="11">
        <f t="shared" ca="1" si="14"/>
        <v>1200</v>
      </c>
      <c r="D114" s="11">
        <f t="shared" ca="1" si="15"/>
        <v>0.63143971103363439</v>
      </c>
      <c r="E114" s="11">
        <f t="shared" ca="1" si="16"/>
        <v>1400</v>
      </c>
      <c r="F114" s="11">
        <f t="shared" ca="1" si="17"/>
        <v>0.42124227744786347</v>
      </c>
      <c r="G114" s="11">
        <f t="shared" ca="1" si="18"/>
        <v>1200</v>
      </c>
      <c r="H114" s="11">
        <f t="shared" ca="1" si="19"/>
        <v>1200</v>
      </c>
      <c r="I114" s="11">
        <f t="shared" ca="1" si="20"/>
        <v>0.83517261349218486</v>
      </c>
      <c r="J114" s="11">
        <f t="shared" ca="1" si="21"/>
        <v>10</v>
      </c>
      <c r="K114" s="24">
        <v>96</v>
      </c>
      <c r="L114" s="24">
        <f t="shared" ca="1" si="22"/>
        <v>100</v>
      </c>
      <c r="M114" s="24">
        <v>400</v>
      </c>
      <c r="N114" s="24">
        <v>20</v>
      </c>
      <c r="O114" s="24">
        <f t="shared" ca="1" si="23"/>
        <v>616</v>
      </c>
      <c r="P114" s="24">
        <v>132</v>
      </c>
      <c r="Q114" s="11">
        <f t="shared" ca="1" si="24"/>
        <v>100</v>
      </c>
      <c r="R114" s="24">
        <v>200</v>
      </c>
      <c r="S114" s="24">
        <v>10</v>
      </c>
      <c r="T114" s="24">
        <f t="shared" ca="1" si="25"/>
        <v>442</v>
      </c>
    </row>
    <row r="115" spans="1:20" x14ac:dyDescent="0.45">
      <c r="A115" s="11">
        <v>102</v>
      </c>
      <c r="B115" s="11">
        <f t="shared" ca="1" si="13"/>
        <v>0.50106758512396299</v>
      </c>
      <c r="C115" s="11">
        <f t="shared" ca="1" si="14"/>
        <v>1300</v>
      </c>
      <c r="D115" s="11">
        <f t="shared" ca="1" si="15"/>
        <v>7.7914263155181795E-2</v>
      </c>
      <c r="E115" s="11">
        <f t="shared" ca="1" si="16"/>
        <v>1000</v>
      </c>
      <c r="F115" s="11">
        <f t="shared" ca="1" si="17"/>
        <v>0.24645906392785633</v>
      </c>
      <c r="G115" s="11">
        <f t="shared" ca="1" si="18"/>
        <v>1200</v>
      </c>
      <c r="H115" s="11">
        <f t="shared" ca="1" si="19"/>
        <v>1000</v>
      </c>
      <c r="I115" s="11">
        <f t="shared" ca="1" si="20"/>
        <v>0.56421469921944789</v>
      </c>
      <c r="J115" s="11">
        <f t="shared" ca="1" si="21"/>
        <v>5</v>
      </c>
      <c r="K115" s="24">
        <v>96</v>
      </c>
      <c r="L115" s="24">
        <f t="shared" ca="1" si="22"/>
        <v>50</v>
      </c>
      <c r="M115" s="24">
        <v>400</v>
      </c>
      <c r="N115" s="24">
        <v>20</v>
      </c>
      <c r="O115" s="24">
        <f t="shared" ca="1" si="23"/>
        <v>566</v>
      </c>
      <c r="P115" s="24">
        <v>133</v>
      </c>
      <c r="Q115" s="11">
        <f t="shared" ca="1" si="24"/>
        <v>50</v>
      </c>
      <c r="R115" s="24">
        <v>200</v>
      </c>
      <c r="S115" s="24">
        <v>10</v>
      </c>
      <c r="T115" s="24">
        <f t="shared" ca="1" si="25"/>
        <v>393</v>
      </c>
    </row>
    <row r="116" spans="1:20" x14ac:dyDescent="0.45">
      <c r="A116" s="11">
        <v>103</v>
      </c>
      <c r="B116" s="11">
        <f t="shared" ca="1" si="13"/>
        <v>0.37575056975221066</v>
      </c>
      <c r="C116" s="11">
        <f t="shared" ca="1" si="14"/>
        <v>1200</v>
      </c>
      <c r="D116" s="11">
        <f t="shared" ca="1" si="15"/>
        <v>5.4282433669728514E-2</v>
      </c>
      <c r="E116" s="11">
        <f t="shared" ca="1" si="16"/>
        <v>1000</v>
      </c>
      <c r="F116" s="11">
        <f t="shared" ca="1" si="17"/>
        <v>0.82835915561850126</v>
      </c>
      <c r="G116" s="11">
        <f t="shared" ca="1" si="18"/>
        <v>1600</v>
      </c>
      <c r="H116" s="11">
        <f t="shared" ca="1" si="19"/>
        <v>1000</v>
      </c>
      <c r="I116" s="11">
        <f t="shared" ca="1" si="20"/>
        <v>0.27093567500979254</v>
      </c>
      <c r="J116" s="11">
        <f t="shared" ca="1" si="21"/>
        <v>5</v>
      </c>
      <c r="K116" s="24">
        <v>96</v>
      </c>
      <c r="L116" s="24">
        <f t="shared" ca="1" si="22"/>
        <v>50</v>
      </c>
      <c r="M116" s="24">
        <v>400</v>
      </c>
      <c r="N116" s="24">
        <v>20</v>
      </c>
      <c r="O116" s="24">
        <f t="shared" ca="1" si="23"/>
        <v>566</v>
      </c>
      <c r="P116" s="24">
        <v>134</v>
      </c>
      <c r="Q116" s="11">
        <f t="shared" ca="1" si="24"/>
        <v>50</v>
      </c>
      <c r="R116" s="24">
        <v>200</v>
      </c>
      <c r="S116" s="24">
        <v>10</v>
      </c>
      <c r="T116" s="24">
        <f t="shared" ca="1" si="25"/>
        <v>394</v>
      </c>
    </row>
    <row r="117" spans="1:20" x14ac:dyDescent="0.45">
      <c r="A117" s="11">
        <v>104</v>
      </c>
      <c r="B117" s="11">
        <f t="shared" ca="1" si="13"/>
        <v>0.21798975849500823</v>
      </c>
      <c r="C117" s="11">
        <f t="shared" ca="1" si="14"/>
        <v>1100</v>
      </c>
      <c r="D117" s="11">
        <f t="shared" ca="1" si="15"/>
        <v>0.79465423793236156</v>
      </c>
      <c r="E117" s="11">
        <f t="shared" ca="1" si="16"/>
        <v>1500</v>
      </c>
      <c r="F117" s="11">
        <f t="shared" ca="1" si="17"/>
        <v>4.0545381057446206E-2</v>
      </c>
      <c r="G117" s="11">
        <f t="shared" ca="1" si="18"/>
        <v>1000</v>
      </c>
      <c r="H117" s="11">
        <f t="shared" ca="1" si="19"/>
        <v>1000</v>
      </c>
      <c r="I117" s="11">
        <f t="shared" ca="1" si="20"/>
        <v>0.68401331148431566</v>
      </c>
      <c r="J117" s="11">
        <f t="shared" ca="1" si="21"/>
        <v>10</v>
      </c>
      <c r="K117" s="24">
        <v>96</v>
      </c>
      <c r="L117" s="24">
        <f t="shared" ca="1" si="22"/>
        <v>100</v>
      </c>
      <c r="M117" s="24">
        <v>400</v>
      </c>
      <c r="N117" s="24">
        <v>20</v>
      </c>
      <c r="O117" s="24">
        <f t="shared" ca="1" si="23"/>
        <v>616</v>
      </c>
      <c r="P117" s="24">
        <v>135</v>
      </c>
      <c r="Q117" s="11">
        <f t="shared" ca="1" si="24"/>
        <v>100</v>
      </c>
      <c r="R117" s="24">
        <v>200</v>
      </c>
      <c r="S117" s="24">
        <v>10</v>
      </c>
      <c r="T117" s="24">
        <f t="shared" ca="1" si="25"/>
        <v>445</v>
      </c>
    </row>
    <row r="118" spans="1:20" x14ac:dyDescent="0.45">
      <c r="A118" s="11">
        <v>105</v>
      </c>
      <c r="B118" s="11">
        <f t="shared" ca="1" si="13"/>
        <v>0.69644533959088017</v>
      </c>
      <c r="C118" s="11">
        <f t="shared" ca="1" si="14"/>
        <v>1400</v>
      </c>
      <c r="D118" s="11">
        <f t="shared" ca="1" si="15"/>
        <v>0.74226788797318766</v>
      </c>
      <c r="E118" s="11">
        <f t="shared" ca="1" si="16"/>
        <v>1500</v>
      </c>
      <c r="F118" s="11">
        <f t="shared" ca="1" si="17"/>
        <v>0.38946060761980572</v>
      </c>
      <c r="G118" s="11">
        <f t="shared" ca="1" si="18"/>
        <v>1200</v>
      </c>
      <c r="H118" s="11">
        <f t="shared" ca="1" si="19"/>
        <v>1200</v>
      </c>
      <c r="I118" s="11">
        <f t="shared" ca="1" si="20"/>
        <v>0.73003399908546918</v>
      </c>
      <c r="J118" s="11">
        <f t="shared" ca="1" si="21"/>
        <v>10</v>
      </c>
      <c r="K118" s="24">
        <v>96</v>
      </c>
      <c r="L118" s="24">
        <f t="shared" ca="1" si="22"/>
        <v>100</v>
      </c>
      <c r="M118" s="24">
        <v>400</v>
      </c>
      <c r="N118" s="24">
        <v>20</v>
      </c>
      <c r="O118" s="24">
        <f t="shared" ca="1" si="23"/>
        <v>616</v>
      </c>
      <c r="P118" s="24">
        <v>136</v>
      </c>
      <c r="Q118" s="11">
        <f t="shared" ca="1" si="24"/>
        <v>100</v>
      </c>
      <c r="R118" s="24">
        <v>200</v>
      </c>
      <c r="S118" s="24">
        <v>10</v>
      </c>
      <c r="T118" s="24">
        <f t="shared" ca="1" si="25"/>
        <v>446</v>
      </c>
    </row>
    <row r="119" spans="1:20" x14ac:dyDescent="0.45">
      <c r="A119" s="11">
        <v>106</v>
      </c>
      <c r="B119" s="11">
        <f t="shared" ca="1" si="13"/>
        <v>0.44269507854068979</v>
      </c>
      <c r="C119" s="11">
        <f t="shared" ca="1" si="14"/>
        <v>1200</v>
      </c>
      <c r="D119" s="11">
        <f t="shared" ca="1" si="15"/>
        <v>0.93974266925658245</v>
      </c>
      <c r="E119" s="11">
        <f t="shared" ca="1" si="16"/>
        <v>1800</v>
      </c>
      <c r="F119" s="11">
        <f t="shared" ca="1" si="17"/>
        <v>0.29240860044218042</v>
      </c>
      <c r="G119" s="11">
        <f t="shared" ca="1" si="18"/>
        <v>1200</v>
      </c>
      <c r="H119" s="11">
        <f t="shared" ca="1" si="19"/>
        <v>1200</v>
      </c>
      <c r="I119" s="11">
        <f t="shared" ca="1" si="20"/>
        <v>0.19219717034911721</v>
      </c>
      <c r="J119" s="11">
        <f t="shared" ca="1" si="21"/>
        <v>5</v>
      </c>
      <c r="K119" s="24">
        <v>96</v>
      </c>
      <c r="L119" s="24">
        <f t="shared" ca="1" si="22"/>
        <v>50</v>
      </c>
      <c r="M119" s="24">
        <v>400</v>
      </c>
      <c r="N119" s="24">
        <v>20</v>
      </c>
      <c r="O119" s="24">
        <f t="shared" ca="1" si="23"/>
        <v>566</v>
      </c>
      <c r="P119" s="24">
        <v>137</v>
      </c>
      <c r="Q119" s="11">
        <f t="shared" ca="1" si="24"/>
        <v>50</v>
      </c>
      <c r="R119" s="24">
        <v>200</v>
      </c>
      <c r="S119" s="24">
        <v>10</v>
      </c>
      <c r="T119" s="24">
        <f t="shared" ca="1" si="25"/>
        <v>397</v>
      </c>
    </row>
    <row r="120" spans="1:20" x14ac:dyDescent="0.45">
      <c r="A120" s="11">
        <v>107</v>
      </c>
      <c r="B120" s="11">
        <f t="shared" ca="1" si="13"/>
        <v>0.29468747564486208</v>
      </c>
      <c r="C120" s="11">
        <f t="shared" ca="1" si="14"/>
        <v>1200</v>
      </c>
      <c r="D120" s="11">
        <f t="shared" ca="1" si="15"/>
        <v>0.68381186606285005</v>
      </c>
      <c r="E120" s="11">
        <f t="shared" ca="1" si="16"/>
        <v>1400</v>
      </c>
      <c r="F120" s="11">
        <f t="shared" ca="1" si="17"/>
        <v>0.6762568734564528</v>
      </c>
      <c r="G120" s="11">
        <f t="shared" ca="1" si="18"/>
        <v>1400</v>
      </c>
      <c r="H120" s="11">
        <f t="shared" ca="1" si="19"/>
        <v>1200</v>
      </c>
      <c r="I120" s="11">
        <f t="shared" ca="1" si="20"/>
        <v>0.40225294510207488</v>
      </c>
      <c r="J120" s="11">
        <f t="shared" ca="1" si="21"/>
        <v>5</v>
      </c>
      <c r="K120" s="24">
        <v>96</v>
      </c>
      <c r="L120" s="24">
        <f t="shared" ca="1" si="22"/>
        <v>50</v>
      </c>
      <c r="M120" s="24">
        <v>400</v>
      </c>
      <c r="N120" s="24">
        <v>20</v>
      </c>
      <c r="O120" s="24">
        <f t="shared" ca="1" si="23"/>
        <v>566</v>
      </c>
      <c r="P120" s="24">
        <v>138</v>
      </c>
      <c r="Q120" s="11">
        <f t="shared" ca="1" si="24"/>
        <v>50</v>
      </c>
      <c r="R120" s="24">
        <v>200</v>
      </c>
      <c r="S120" s="24">
        <v>10</v>
      </c>
      <c r="T120" s="24">
        <f t="shared" ca="1" si="25"/>
        <v>398</v>
      </c>
    </row>
    <row r="121" spans="1:20" x14ac:dyDescent="0.45">
      <c r="A121" s="11">
        <v>108</v>
      </c>
      <c r="B121" s="11">
        <f t="shared" ca="1" si="13"/>
        <v>0.97115716880322189</v>
      </c>
      <c r="C121" s="11">
        <f t="shared" ca="1" si="14"/>
        <v>1900</v>
      </c>
      <c r="D121" s="11">
        <f t="shared" ca="1" si="15"/>
        <v>0.28169097566059831</v>
      </c>
      <c r="E121" s="11">
        <f t="shared" ca="1" si="16"/>
        <v>1200</v>
      </c>
      <c r="F121" s="11">
        <f t="shared" ca="1" si="17"/>
        <v>0.58218658623686048</v>
      </c>
      <c r="G121" s="11">
        <f t="shared" ca="1" si="18"/>
        <v>1300</v>
      </c>
      <c r="H121" s="11">
        <f t="shared" ca="1" si="19"/>
        <v>1200</v>
      </c>
      <c r="I121" s="11">
        <f t="shared" ca="1" si="20"/>
        <v>0.5064215587639489</v>
      </c>
      <c r="J121" s="11">
        <f t="shared" ca="1" si="21"/>
        <v>5</v>
      </c>
      <c r="K121" s="24">
        <v>96</v>
      </c>
      <c r="L121" s="24">
        <f t="shared" ca="1" si="22"/>
        <v>50</v>
      </c>
      <c r="M121" s="24">
        <v>400</v>
      </c>
      <c r="N121" s="24">
        <v>20</v>
      </c>
      <c r="O121" s="24">
        <f t="shared" ca="1" si="23"/>
        <v>566</v>
      </c>
      <c r="P121" s="24">
        <v>139</v>
      </c>
      <c r="Q121" s="11">
        <f t="shared" ca="1" si="24"/>
        <v>50</v>
      </c>
      <c r="R121" s="24">
        <v>200</v>
      </c>
      <c r="S121" s="24">
        <v>10</v>
      </c>
      <c r="T121" s="24">
        <f t="shared" ca="1" si="25"/>
        <v>399</v>
      </c>
    </row>
    <row r="122" spans="1:20" x14ac:dyDescent="0.45">
      <c r="A122" s="11">
        <v>109</v>
      </c>
      <c r="B122" s="11">
        <f t="shared" ca="1" si="13"/>
        <v>0.96919800334954631</v>
      </c>
      <c r="C122" s="11">
        <f t="shared" ca="1" si="14"/>
        <v>1900</v>
      </c>
      <c r="D122" s="11">
        <f t="shared" ca="1" si="15"/>
        <v>3.7617122939133774E-2</v>
      </c>
      <c r="E122" s="11">
        <f t="shared" ca="1" si="16"/>
        <v>1000</v>
      </c>
      <c r="F122" s="11">
        <f t="shared" ca="1" si="17"/>
        <v>0.42581068213509043</v>
      </c>
      <c r="G122" s="11">
        <f t="shared" ca="1" si="18"/>
        <v>1200</v>
      </c>
      <c r="H122" s="11">
        <f t="shared" ca="1" si="19"/>
        <v>1000</v>
      </c>
      <c r="I122" s="11">
        <f t="shared" ca="1" si="20"/>
        <v>0.70070516992877452</v>
      </c>
      <c r="J122" s="11">
        <f t="shared" ca="1" si="21"/>
        <v>10</v>
      </c>
      <c r="K122" s="24">
        <v>96</v>
      </c>
      <c r="L122" s="24">
        <f t="shared" ca="1" si="22"/>
        <v>100</v>
      </c>
      <c r="M122" s="24">
        <v>400</v>
      </c>
      <c r="N122" s="24">
        <v>20</v>
      </c>
      <c r="O122" s="24">
        <f t="shared" ca="1" si="23"/>
        <v>616</v>
      </c>
      <c r="P122" s="24">
        <v>140</v>
      </c>
      <c r="Q122" s="11">
        <f t="shared" ca="1" si="24"/>
        <v>100</v>
      </c>
      <c r="R122" s="24">
        <v>200</v>
      </c>
      <c r="S122" s="24">
        <v>10</v>
      </c>
      <c r="T122" s="24">
        <f t="shared" ca="1" si="25"/>
        <v>450</v>
      </c>
    </row>
    <row r="123" spans="1:20" x14ac:dyDescent="0.45">
      <c r="A123" s="11">
        <v>110</v>
      </c>
      <c r="B123" s="11">
        <f t="shared" ca="1" si="13"/>
        <v>0.97166668326813077</v>
      </c>
      <c r="C123" s="11">
        <f t="shared" ca="1" si="14"/>
        <v>1900</v>
      </c>
      <c r="D123" s="11">
        <f t="shared" ca="1" si="15"/>
        <v>0.72772774238936389</v>
      </c>
      <c r="E123" s="11">
        <f t="shared" ca="1" si="16"/>
        <v>1500</v>
      </c>
      <c r="F123" s="11">
        <f t="shared" ca="1" si="17"/>
        <v>0.69964903438063941</v>
      </c>
      <c r="G123" s="11">
        <f t="shared" ca="1" si="18"/>
        <v>1400</v>
      </c>
      <c r="H123" s="11">
        <f t="shared" ca="1" si="19"/>
        <v>1400</v>
      </c>
      <c r="I123" s="11">
        <f t="shared" ca="1" si="20"/>
        <v>0.46873691409680551</v>
      </c>
      <c r="J123" s="11">
        <f t="shared" ca="1" si="21"/>
        <v>5</v>
      </c>
      <c r="K123" s="24">
        <v>96</v>
      </c>
      <c r="L123" s="24">
        <f t="shared" ca="1" si="22"/>
        <v>50</v>
      </c>
      <c r="M123" s="24">
        <v>400</v>
      </c>
      <c r="N123" s="24">
        <v>20</v>
      </c>
      <c r="O123" s="24">
        <f t="shared" ca="1" si="23"/>
        <v>566</v>
      </c>
      <c r="P123" s="24">
        <v>141</v>
      </c>
      <c r="Q123" s="11">
        <f t="shared" ca="1" si="24"/>
        <v>50</v>
      </c>
      <c r="R123" s="24">
        <v>200</v>
      </c>
      <c r="S123" s="24">
        <v>10</v>
      </c>
      <c r="T123" s="24">
        <f t="shared" ca="1" si="25"/>
        <v>401</v>
      </c>
    </row>
    <row r="124" spans="1:20" x14ac:dyDescent="0.45">
      <c r="A124" s="11">
        <v>111</v>
      </c>
      <c r="B124" s="11">
        <f t="shared" ca="1" si="13"/>
        <v>0.32563952000090457</v>
      </c>
      <c r="C124" s="11">
        <f t="shared" ca="1" si="14"/>
        <v>1200</v>
      </c>
      <c r="D124" s="11">
        <f t="shared" ca="1" si="15"/>
        <v>0.82460001102162694</v>
      </c>
      <c r="E124" s="11">
        <f t="shared" ca="1" si="16"/>
        <v>1600</v>
      </c>
      <c r="F124" s="11">
        <f t="shared" ca="1" si="17"/>
        <v>0.76892094540331413</v>
      </c>
      <c r="G124" s="11">
        <f t="shared" ca="1" si="18"/>
        <v>1500</v>
      </c>
      <c r="H124" s="11">
        <f t="shared" ca="1" si="19"/>
        <v>1200</v>
      </c>
      <c r="I124" s="11">
        <f t="shared" ca="1" si="20"/>
        <v>0.6543364511717833</v>
      </c>
      <c r="J124" s="11">
        <f t="shared" ca="1" si="21"/>
        <v>10</v>
      </c>
      <c r="K124" s="24">
        <v>96</v>
      </c>
      <c r="L124" s="24">
        <f t="shared" ca="1" si="22"/>
        <v>100</v>
      </c>
      <c r="M124" s="24">
        <v>400</v>
      </c>
      <c r="N124" s="24">
        <v>20</v>
      </c>
      <c r="O124" s="24">
        <f t="shared" ca="1" si="23"/>
        <v>616</v>
      </c>
      <c r="P124" s="24">
        <v>142</v>
      </c>
      <c r="Q124" s="11">
        <f t="shared" ca="1" si="24"/>
        <v>100</v>
      </c>
      <c r="R124" s="24">
        <v>200</v>
      </c>
      <c r="S124" s="24">
        <v>10</v>
      </c>
      <c r="T124" s="24">
        <f t="shared" ca="1" si="25"/>
        <v>452</v>
      </c>
    </row>
    <row r="125" spans="1:20" x14ac:dyDescent="0.45">
      <c r="A125" s="11">
        <v>112</v>
      </c>
      <c r="B125" s="11">
        <f t="shared" ca="1" si="13"/>
        <v>0.86397058913226732</v>
      </c>
      <c r="C125" s="11">
        <f t="shared" ca="1" si="14"/>
        <v>1700</v>
      </c>
      <c r="D125" s="11">
        <f t="shared" ca="1" si="15"/>
        <v>0.69188818595137436</v>
      </c>
      <c r="E125" s="11">
        <f t="shared" ca="1" si="16"/>
        <v>1400</v>
      </c>
      <c r="F125" s="11">
        <f t="shared" ca="1" si="17"/>
        <v>0.11847548045020084</v>
      </c>
      <c r="G125" s="11">
        <f t="shared" ca="1" si="18"/>
        <v>1100</v>
      </c>
      <c r="H125" s="11">
        <f t="shared" ca="1" si="19"/>
        <v>1100</v>
      </c>
      <c r="I125" s="11">
        <f t="shared" ca="1" si="20"/>
        <v>2.6455829553415633E-2</v>
      </c>
      <c r="J125" s="11">
        <f t="shared" ca="1" si="21"/>
        <v>5</v>
      </c>
      <c r="K125" s="24">
        <v>96</v>
      </c>
      <c r="L125" s="24">
        <f t="shared" ca="1" si="22"/>
        <v>50</v>
      </c>
      <c r="M125" s="24">
        <v>400</v>
      </c>
      <c r="N125" s="24">
        <v>20</v>
      </c>
      <c r="O125" s="24">
        <f t="shared" ca="1" si="23"/>
        <v>566</v>
      </c>
      <c r="P125" s="24">
        <v>143</v>
      </c>
      <c r="Q125" s="11">
        <f t="shared" ca="1" si="24"/>
        <v>50</v>
      </c>
      <c r="R125" s="24">
        <v>200</v>
      </c>
      <c r="S125" s="24">
        <v>10</v>
      </c>
      <c r="T125" s="24">
        <f t="shared" ca="1" si="25"/>
        <v>403</v>
      </c>
    </row>
    <row r="126" spans="1:20" x14ac:dyDescent="0.45">
      <c r="A126" s="11">
        <v>113</v>
      </c>
      <c r="B126" s="11">
        <f t="shared" ca="1" si="13"/>
        <v>0.33175495354366902</v>
      </c>
      <c r="C126" s="11">
        <f t="shared" ca="1" si="14"/>
        <v>1200</v>
      </c>
      <c r="D126" s="11">
        <f t="shared" ca="1" si="15"/>
        <v>0.35214637900599599</v>
      </c>
      <c r="E126" s="11">
        <f t="shared" ca="1" si="16"/>
        <v>1200</v>
      </c>
      <c r="F126" s="11">
        <f t="shared" ca="1" si="17"/>
        <v>0.1084234537819182</v>
      </c>
      <c r="G126" s="11">
        <f t="shared" ca="1" si="18"/>
        <v>1100</v>
      </c>
      <c r="H126" s="11">
        <f t="shared" ca="1" si="19"/>
        <v>1100</v>
      </c>
      <c r="I126" s="11">
        <f t="shared" ca="1" si="20"/>
        <v>0.41837704528977837</v>
      </c>
      <c r="J126" s="11">
        <f t="shared" ca="1" si="21"/>
        <v>5</v>
      </c>
      <c r="K126" s="24">
        <v>96</v>
      </c>
      <c r="L126" s="24">
        <f t="shared" ca="1" si="22"/>
        <v>50</v>
      </c>
      <c r="M126" s="24">
        <v>400</v>
      </c>
      <c r="N126" s="24">
        <v>20</v>
      </c>
      <c r="O126" s="24">
        <f t="shared" ca="1" si="23"/>
        <v>566</v>
      </c>
      <c r="P126" s="24">
        <v>144</v>
      </c>
      <c r="Q126" s="11">
        <f t="shared" ca="1" si="24"/>
        <v>50</v>
      </c>
      <c r="R126" s="24">
        <v>200</v>
      </c>
      <c r="S126" s="24">
        <v>10</v>
      </c>
      <c r="T126" s="24">
        <f t="shared" ca="1" si="25"/>
        <v>404</v>
      </c>
    </row>
    <row r="127" spans="1:20" x14ac:dyDescent="0.45">
      <c r="A127" s="11">
        <v>114</v>
      </c>
      <c r="B127" s="11">
        <f t="shared" ca="1" si="13"/>
        <v>0.2833388477174299</v>
      </c>
      <c r="C127" s="11">
        <f t="shared" ca="1" si="14"/>
        <v>1200</v>
      </c>
      <c r="D127" s="11">
        <f t="shared" ca="1" si="15"/>
        <v>0.56207801466599649</v>
      </c>
      <c r="E127" s="11">
        <f t="shared" ca="1" si="16"/>
        <v>1300</v>
      </c>
      <c r="F127" s="11">
        <f t="shared" ca="1" si="17"/>
        <v>8.9602553066254087E-2</v>
      </c>
      <c r="G127" s="11">
        <f t="shared" ca="1" si="18"/>
        <v>1000</v>
      </c>
      <c r="H127" s="11">
        <f t="shared" ca="1" si="19"/>
        <v>1000</v>
      </c>
      <c r="I127" s="11">
        <f t="shared" ca="1" si="20"/>
        <v>0.4076915502833155</v>
      </c>
      <c r="J127" s="11">
        <f t="shared" ca="1" si="21"/>
        <v>5</v>
      </c>
      <c r="K127" s="24">
        <v>96</v>
      </c>
      <c r="L127" s="24">
        <f t="shared" ca="1" si="22"/>
        <v>50</v>
      </c>
      <c r="M127" s="24">
        <v>400</v>
      </c>
      <c r="N127" s="24">
        <v>20</v>
      </c>
      <c r="O127" s="24">
        <f t="shared" ca="1" si="23"/>
        <v>566</v>
      </c>
      <c r="P127" s="24">
        <v>145</v>
      </c>
      <c r="Q127" s="11">
        <f t="shared" ca="1" si="24"/>
        <v>50</v>
      </c>
      <c r="R127" s="24">
        <v>200</v>
      </c>
      <c r="S127" s="24">
        <v>10</v>
      </c>
      <c r="T127" s="24">
        <f t="shared" ca="1" si="25"/>
        <v>405</v>
      </c>
    </row>
    <row r="128" spans="1:20" x14ac:dyDescent="0.45">
      <c r="A128" s="11">
        <v>115</v>
      </c>
      <c r="B128" s="11">
        <f t="shared" ca="1" si="13"/>
        <v>0.19813293431171142</v>
      </c>
      <c r="C128" s="11">
        <f t="shared" ca="1" si="14"/>
        <v>1100</v>
      </c>
      <c r="D128" s="11">
        <f t="shared" ca="1" si="15"/>
        <v>0.23137966659409326</v>
      </c>
      <c r="E128" s="11">
        <f t="shared" ca="1" si="16"/>
        <v>1200</v>
      </c>
      <c r="F128" s="11">
        <f t="shared" ca="1" si="17"/>
        <v>0.1790625032576445</v>
      </c>
      <c r="G128" s="11">
        <f t="shared" ca="1" si="18"/>
        <v>1100</v>
      </c>
      <c r="H128" s="11">
        <f t="shared" ca="1" si="19"/>
        <v>1100</v>
      </c>
      <c r="I128" s="11">
        <f t="shared" ca="1" si="20"/>
        <v>0.97893015160857955</v>
      </c>
      <c r="J128" s="11">
        <f t="shared" ca="1" si="21"/>
        <v>15</v>
      </c>
      <c r="K128" s="24">
        <v>96</v>
      </c>
      <c r="L128" s="24">
        <f t="shared" ca="1" si="22"/>
        <v>150</v>
      </c>
      <c r="M128" s="24">
        <v>400</v>
      </c>
      <c r="N128" s="24">
        <v>20</v>
      </c>
      <c r="O128" s="24">
        <f t="shared" ca="1" si="23"/>
        <v>666</v>
      </c>
      <c r="P128" s="24">
        <v>146</v>
      </c>
      <c r="Q128" s="11">
        <f t="shared" ca="1" si="24"/>
        <v>150</v>
      </c>
      <c r="R128" s="24">
        <v>200</v>
      </c>
      <c r="S128" s="24">
        <v>10</v>
      </c>
      <c r="T128" s="24">
        <f t="shared" ca="1" si="25"/>
        <v>506</v>
      </c>
    </row>
    <row r="129" spans="1:20" x14ac:dyDescent="0.45">
      <c r="A129" s="11">
        <v>116</v>
      </c>
      <c r="B129" s="11">
        <f t="shared" ca="1" si="13"/>
        <v>0.12568603964573943</v>
      </c>
      <c r="C129" s="11">
        <f t="shared" ca="1" si="14"/>
        <v>1100</v>
      </c>
      <c r="D129" s="11">
        <f t="shared" ca="1" si="15"/>
        <v>0.24697351383091681</v>
      </c>
      <c r="E129" s="11">
        <f t="shared" ca="1" si="16"/>
        <v>1200</v>
      </c>
      <c r="F129" s="11">
        <f t="shared" ca="1" si="17"/>
        <v>0.92354003156699727</v>
      </c>
      <c r="G129" s="11">
        <f t="shared" ca="1" si="18"/>
        <v>1800</v>
      </c>
      <c r="H129" s="11">
        <f t="shared" ca="1" si="19"/>
        <v>1100</v>
      </c>
      <c r="I129" s="11">
        <f t="shared" ca="1" si="20"/>
        <v>0.19067369345020579</v>
      </c>
      <c r="J129" s="11">
        <f t="shared" ca="1" si="21"/>
        <v>5</v>
      </c>
      <c r="K129" s="24">
        <v>96</v>
      </c>
      <c r="L129" s="24">
        <f t="shared" ca="1" si="22"/>
        <v>50</v>
      </c>
      <c r="M129" s="24">
        <v>400</v>
      </c>
      <c r="N129" s="24">
        <v>20</v>
      </c>
      <c r="O129" s="24">
        <f t="shared" ca="1" si="23"/>
        <v>566</v>
      </c>
      <c r="P129" s="24">
        <v>147</v>
      </c>
      <c r="Q129" s="11">
        <f t="shared" ca="1" si="24"/>
        <v>50</v>
      </c>
      <c r="R129" s="24">
        <v>200</v>
      </c>
      <c r="S129" s="24">
        <v>10</v>
      </c>
      <c r="T129" s="24">
        <f t="shared" ca="1" si="25"/>
        <v>407</v>
      </c>
    </row>
    <row r="130" spans="1:20" x14ac:dyDescent="0.45">
      <c r="A130" s="11">
        <v>117</v>
      </c>
      <c r="B130" s="11">
        <f t="shared" ca="1" si="13"/>
        <v>0.22166230433633793</v>
      </c>
      <c r="C130" s="11">
        <f t="shared" ca="1" si="14"/>
        <v>1100</v>
      </c>
      <c r="D130" s="11">
        <f t="shared" ca="1" si="15"/>
        <v>0.81774960929885698</v>
      </c>
      <c r="E130" s="11">
        <f t="shared" ca="1" si="16"/>
        <v>1500</v>
      </c>
      <c r="F130" s="11">
        <f t="shared" ca="1" si="17"/>
        <v>0.55623850840472511</v>
      </c>
      <c r="G130" s="11">
        <f t="shared" ca="1" si="18"/>
        <v>1300</v>
      </c>
      <c r="H130" s="11">
        <f t="shared" ca="1" si="19"/>
        <v>1100</v>
      </c>
      <c r="I130" s="11">
        <f t="shared" ca="1" si="20"/>
        <v>6.260877132968512E-2</v>
      </c>
      <c r="J130" s="11">
        <f t="shared" ca="1" si="21"/>
        <v>5</v>
      </c>
      <c r="K130" s="24">
        <v>96</v>
      </c>
      <c r="L130" s="24">
        <f t="shared" ca="1" si="22"/>
        <v>50</v>
      </c>
      <c r="M130" s="24">
        <v>400</v>
      </c>
      <c r="N130" s="24">
        <v>20</v>
      </c>
      <c r="O130" s="24">
        <f t="shared" ca="1" si="23"/>
        <v>566</v>
      </c>
      <c r="P130" s="24">
        <v>148</v>
      </c>
      <c r="Q130" s="11">
        <f t="shared" ca="1" si="24"/>
        <v>50</v>
      </c>
      <c r="R130" s="24">
        <v>200</v>
      </c>
      <c r="S130" s="24">
        <v>10</v>
      </c>
      <c r="T130" s="24">
        <f t="shared" ca="1" si="25"/>
        <v>408</v>
      </c>
    </row>
    <row r="131" spans="1:20" x14ac:dyDescent="0.45">
      <c r="A131" s="11">
        <v>118</v>
      </c>
      <c r="B131" s="11">
        <f t="shared" ca="1" si="13"/>
        <v>0.76669469095273501</v>
      </c>
      <c r="C131" s="11">
        <f t="shared" ca="1" si="14"/>
        <v>1500</v>
      </c>
      <c r="D131" s="11">
        <f t="shared" ca="1" si="15"/>
        <v>0.94229619314749014</v>
      </c>
      <c r="E131" s="11">
        <f t="shared" ca="1" si="16"/>
        <v>1800</v>
      </c>
      <c r="F131" s="11">
        <f t="shared" ca="1" si="17"/>
        <v>0.26352077882049907</v>
      </c>
      <c r="G131" s="11">
        <f t="shared" ca="1" si="18"/>
        <v>1200</v>
      </c>
      <c r="H131" s="11">
        <f t="shared" ca="1" si="19"/>
        <v>1200</v>
      </c>
      <c r="I131" s="11">
        <f t="shared" ca="1" si="20"/>
        <v>0.9521231445672157</v>
      </c>
      <c r="J131" s="11">
        <f t="shared" ca="1" si="21"/>
        <v>15</v>
      </c>
      <c r="K131" s="24">
        <v>96</v>
      </c>
      <c r="L131" s="24">
        <f t="shared" ca="1" si="22"/>
        <v>150</v>
      </c>
      <c r="M131" s="24">
        <v>400</v>
      </c>
      <c r="N131" s="24">
        <v>20</v>
      </c>
      <c r="O131" s="24">
        <f t="shared" ca="1" si="23"/>
        <v>666</v>
      </c>
      <c r="P131" s="24">
        <v>149</v>
      </c>
      <c r="Q131" s="11">
        <f t="shared" ca="1" si="24"/>
        <v>150</v>
      </c>
      <c r="R131" s="24">
        <v>200</v>
      </c>
      <c r="S131" s="24">
        <v>10</v>
      </c>
      <c r="T131" s="24">
        <f t="shared" ca="1" si="25"/>
        <v>509</v>
      </c>
    </row>
    <row r="132" spans="1:20" x14ac:dyDescent="0.45">
      <c r="A132" s="11">
        <v>119</v>
      </c>
      <c r="B132" s="11">
        <f t="shared" ca="1" si="13"/>
        <v>0.38996998234694169</v>
      </c>
      <c r="C132" s="11">
        <f t="shared" ca="1" si="14"/>
        <v>1200</v>
      </c>
      <c r="D132" s="11">
        <f t="shared" ca="1" si="15"/>
        <v>0.48394422726228314</v>
      </c>
      <c r="E132" s="11">
        <f t="shared" ca="1" si="16"/>
        <v>1300</v>
      </c>
      <c r="F132" s="11">
        <f t="shared" ca="1" si="17"/>
        <v>0.12942614323764645</v>
      </c>
      <c r="G132" s="11">
        <f t="shared" ca="1" si="18"/>
        <v>1100</v>
      </c>
      <c r="H132" s="11">
        <f t="shared" ca="1" si="19"/>
        <v>1100</v>
      </c>
      <c r="I132" s="11">
        <f t="shared" ca="1" si="20"/>
        <v>0.34689381440926681</v>
      </c>
      <c r="J132" s="11">
        <f t="shared" ca="1" si="21"/>
        <v>5</v>
      </c>
      <c r="K132" s="24">
        <v>96</v>
      </c>
      <c r="L132" s="24">
        <f t="shared" ca="1" si="22"/>
        <v>50</v>
      </c>
      <c r="M132" s="24">
        <v>400</v>
      </c>
      <c r="N132" s="24">
        <v>20</v>
      </c>
      <c r="O132" s="24">
        <f t="shared" ca="1" si="23"/>
        <v>566</v>
      </c>
      <c r="P132" s="24">
        <v>150</v>
      </c>
      <c r="Q132" s="11">
        <f t="shared" ca="1" si="24"/>
        <v>50</v>
      </c>
      <c r="R132" s="24">
        <v>200</v>
      </c>
      <c r="S132" s="24">
        <v>10</v>
      </c>
      <c r="T132" s="24">
        <f t="shared" ca="1" si="25"/>
        <v>410</v>
      </c>
    </row>
    <row r="133" spans="1:20" x14ac:dyDescent="0.45">
      <c r="A133" s="11">
        <v>120</v>
      </c>
      <c r="B133" s="11">
        <f t="shared" ca="1" si="13"/>
        <v>0.6743476961205348</v>
      </c>
      <c r="C133" s="11">
        <f t="shared" ca="1" si="14"/>
        <v>1400</v>
      </c>
      <c r="D133" s="11">
        <f t="shared" ca="1" si="15"/>
        <v>0.42726183184047339</v>
      </c>
      <c r="E133" s="11">
        <f t="shared" ca="1" si="16"/>
        <v>1200</v>
      </c>
      <c r="F133" s="11">
        <f t="shared" ca="1" si="17"/>
        <v>0.25918633490678489</v>
      </c>
      <c r="G133" s="11">
        <f t="shared" ca="1" si="18"/>
        <v>1200</v>
      </c>
      <c r="H133" s="11">
        <f t="shared" ca="1" si="19"/>
        <v>1200</v>
      </c>
      <c r="I133" s="11">
        <f t="shared" ca="1" si="20"/>
        <v>3.6952047983813574E-2</v>
      </c>
      <c r="J133" s="11">
        <f t="shared" ca="1" si="21"/>
        <v>5</v>
      </c>
      <c r="K133" s="24">
        <v>96</v>
      </c>
      <c r="L133" s="24">
        <f t="shared" ca="1" si="22"/>
        <v>50</v>
      </c>
      <c r="M133" s="24">
        <v>400</v>
      </c>
      <c r="N133" s="24">
        <v>20</v>
      </c>
      <c r="O133" s="24">
        <f t="shared" ca="1" si="23"/>
        <v>566</v>
      </c>
      <c r="P133" s="24">
        <v>151</v>
      </c>
      <c r="Q133" s="11">
        <f t="shared" ca="1" si="24"/>
        <v>50</v>
      </c>
      <c r="R133" s="24">
        <v>200</v>
      </c>
      <c r="S133" s="24">
        <v>10</v>
      </c>
      <c r="T133" s="24">
        <f t="shared" ca="1" si="25"/>
        <v>411</v>
      </c>
    </row>
    <row r="134" spans="1:20" x14ac:dyDescent="0.45">
      <c r="A134" s="11">
        <v>121</v>
      </c>
      <c r="B134" s="11">
        <f t="shared" ca="1" si="13"/>
        <v>0.21049223194699551</v>
      </c>
      <c r="C134" s="11">
        <f t="shared" ca="1" si="14"/>
        <v>1100</v>
      </c>
      <c r="D134" s="11">
        <f t="shared" ca="1" si="15"/>
        <v>0.46508245330614273</v>
      </c>
      <c r="E134" s="11">
        <f t="shared" ca="1" si="16"/>
        <v>1200</v>
      </c>
      <c r="F134" s="11">
        <f t="shared" ca="1" si="17"/>
        <v>0.50065652794214888</v>
      </c>
      <c r="G134" s="11">
        <f t="shared" ca="1" si="18"/>
        <v>1300</v>
      </c>
      <c r="H134" s="11">
        <f t="shared" ca="1" si="19"/>
        <v>1100</v>
      </c>
      <c r="I134" s="11">
        <f t="shared" ca="1" si="20"/>
        <v>0.55387639182438952</v>
      </c>
      <c r="J134" s="11">
        <f t="shared" ca="1" si="21"/>
        <v>5</v>
      </c>
      <c r="K134" s="24">
        <v>96</v>
      </c>
      <c r="L134" s="24">
        <f t="shared" ca="1" si="22"/>
        <v>50</v>
      </c>
      <c r="M134" s="24">
        <v>400</v>
      </c>
      <c r="N134" s="24">
        <v>20</v>
      </c>
      <c r="O134" s="24">
        <f t="shared" ca="1" si="23"/>
        <v>566</v>
      </c>
      <c r="P134" s="24">
        <v>152</v>
      </c>
      <c r="Q134" s="11">
        <f t="shared" ca="1" si="24"/>
        <v>50</v>
      </c>
      <c r="R134" s="24">
        <v>200</v>
      </c>
      <c r="S134" s="24">
        <v>10</v>
      </c>
      <c r="T134" s="24">
        <f t="shared" ca="1" si="25"/>
        <v>412</v>
      </c>
    </row>
    <row r="135" spans="1:20" x14ac:dyDescent="0.45">
      <c r="A135" s="11">
        <v>122</v>
      </c>
      <c r="B135" s="11">
        <f t="shared" ca="1" si="13"/>
        <v>0.41843934774478697</v>
      </c>
      <c r="C135" s="11">
        <f t="shared" ca="1" si="14"/>
        <v>1200</v>
      </c>
      <c r="D135" s="11">
        <f t="shared" ca="1" si="15"/>
        <v>0.77290643233788026</v>
      </c>
      <c r="E135" s="11">
        <f t="shared" ca="1" si="16"/>
        <v>1500</v>
      </c>
      <c r="F135" s="11">
        <f t="shared" ca="1" si="17"/>
        <v>0.70162469758905832</v>
      </c>
      <c r="G135" s="11">
        <f t="shared" ca="1" si="18"/>
        <v>1500</v>
      </c>
      <c r="H135" s="11">
        <f t="shared" ca="1" si="19"/>
        <v>1200</v>
      </c>
      <c r="I135" s="11">
        <f t="shared" ca="1" si="20"/>
        <v>0.64486449321308303</v>
      </c>
      <c r="J135" s="11">
        <f t="shared" ca="1" si="21"/>
        <v>10</v>
      </c>
      <c r="K135" s="24">
        <v>96</v>
      </c>
      <c r="L135" s="24">
        <f t="shared" ca="1" si="22"/>
        <v>100</v>
      </c>
      <c r="M135" s="24">
        <v>400</v>
      </c>
      <c r="N135" s="24">
        <v>20</v>
      </c>
      <c r="O135" s="24">
        <f t="shared" ca="1" si="23"/>
        <v>616</v>
      </c>
      <c r="P135" s="24">
        <v>153</v>
      </c>
      <c r="Q135" s="11">
        <f t="shared" ca="1" si="24"/>
        <v>100</v>
      </c>
      <c r="R135" s="24">
        <v>200</v>
      </c>
      <c r="S135" s="24">
        <v>10</v>
      </c>
      <c r="T135" s="24">
        <f t="shared" ca="1" si="25"/>
        <v>463</v>
      </c>
    </row>
    <row r="136" spans="1:20" x14ac:dyDescent="0.45">
      <c r="A136" s="11">
        <v>123</v>
      </c>
      <c r="B136" s="11">
        <f t="shared" ca="1" si="13"/>
        <v>0.11224463541673124</v>
      </c>
      <c r="C136" s="11">
        <f t="shared" ca="1" si="14"/>
        <v>1100</v>
      </c>
      <c r="D136" s="11">
        <f t="shared" ca="1" si="15"/>
        <v>0.79004641085310445</v>
      </c>
      <c r="E136" s="11">
        <f t="shared" ca="1" si="16"/>
        <v>1500</v>
      </c>
      <c r="F136" s="11">
        <f t="shared" ca="1" si="17"/>
        <v>0.91634698970590522</v>
      </c>
      <c r="G136" s="11">
        <f t="shared" ca="1" si="18"/>
        <v>1800</v>
      </c>
      <c r="H136" s="11">
        <f t="shared" ca="1" si="19"/>
        <v>1100</v>
      </c>
      <c r="I136" s="11">
        <f t="shared" ca="1" si="20"/>
        <v>0.1928611830678254</v>
      </c>
      <c r="J136" s="11">
        <f t="shared" ca="1" si="21"/>
        <v>5</v>
      </c>
      <c r="K136" s="24">
        <v>96</v>
      </c>
      <c r="L136" s="24">
        <f t="shared" ca="1" si="22"/>
        <v>50</v>
      </c>
      <c r="M136" s="24">
        <v>400</v>
      </c>
      <c r="N136" s="24">
        <v>20</v>
      </c>
      <c r="O136" s="24">
        <f t="shared" ca="1" si="23"/>
        <v>566</v>
      </c>
      <c r="P136" s="24">
        <v>154</v>
      </c>
      <c r="Q136" s="11">
        <f t="shared" ca="1" si="24"/>
        <v>50</v>
      </c>
      <c r="R136" s="24">
        <v>200</v>
      </c>
      <c r="S136" s="24">
        <v>10</v>
      </c>
      <c r="T136" s="24">
        <f t="shared" ca="1" si="25"/>
        <v>414</v>
      </c>
    </row>
    <row r="137" spans="1:20" x14ac:dyDescent="0.45">
      <c r="A137" s="11">
        <v>124</v>
      </c>
      <c r="B137" s="11">
        <f t="shared" ca="1" si="13"/>
        <v>0.96802939415818323</v>
      </c>
      <c r="C137" s="11">
        <f t="shared" ca="1" si="14"/>
        <v>1900</v>
      </c>
      <c r="D137" s="11">
        <f t="shared" ca="1" si="15"/>
        <v>0.75112755413514287</v>
      </c>
      <c r="E137" s="11">
        <f t="shared" ca="1" si="16"/>
        <v>1500</v>
      </c>
      <c r="F137" s="11">
        <f t="shared" ca="1" si="17"/>
        <v>0.31272509289450501</v>
      </c>
      <c r="G137" s="11">
        <f t="shared" ca="1" si="18"/>
        <v>1200</v>
      </c>
      <c r="H137" s="11">
        <f t="shared" ca="1" si="19"/>
        <v>1200</v>
      </c>
      <c r="I137" s="11">
        <f t="shared" ca="1" si="20"/>
        <v>0.42492930120947425</v>
      </c>
      <c r="J137" s="11">
        <f t="shared" ca="1" si="21"/>
        <v>5</v>
      </c>
      <c r="K137" s="24">
        <v>96</v>
      </c>
      <c r="L137" s="24">
        <f t="shared" ca="1" si="22"/>
        <v>50</v>
      </c>
      <c r="M137" s="24">
        <v>400</v>
      </c>
      <c r="N137" s="24">
        <v>20</v>
      </c>
      <c r="O137" s="24">
        <f t="shared" ca="1" si="23"/>
        <v>566</v>
      </c>
      <c r="P137" s="24">
        <v>155</v>
      </c>
      <c r="Q137" s="11">
        <f t="shared" ca="1" si="24"/>
        <v>50</v>
      </c>
      <c r="R137" s="24">
        <v>200</v>
      </c>
      <c r="S137" s="24">
        <v>10</v>
      </c>
      <c r="T137" s="24">
        <f t="shared" ca="1" si="25"/>
        <v>415</v>
      </c>
    </row>
    <row r="138" spans="1:20" x14ac:dyDescent="0.45">
      <c r="A138" s="11">
        <v>125</v>
      </c>
      <c r="B138" s="11">
        <f t="shared" ca="1" si="13"/>
        <v>3.4226125447725408E-2</v>
      </c>
      <c r="C138" s="11">
        <f t="shared" ca="1" si="14"/>
        <v>1000</v>
      </c>
      <c r="D138" s="11">
        <f t="shared" ca="1" si="15"/>
        <v>0.20739203119525529</v>
      </c>
      <c r="E138" s="11">
        <f t="shared" ca="1" si="16"/>
        <v>1100</v>
      </c>
      <c r="F138" s="11">
        <f t="shared" ca="1" si="17"/>
        <v>0.34877768078350602</v>
      </c>
      <c r="G138" s="11">
        <f t="shared" ca="1" si="18"/>
        <v>1200</v>
      </c>
      <c r="H138" s="11">
        <f t="shared" ca="1" si="19"/>
        <v>1000</v>
      </c>
      <c r="I138" s="11">
        <f t="shared" ca="1" si="20"/>
        <v>0.82808137026813111</v>
      </c>
      <c r="J138" s="11">
        <f t="shared" ca="1" si="21"/>
        <v>10</v>
      </c>
      <c r="K138" s="24">
        <v>96</v>
      </c>
      <c r="L138" s="24">
        <f t="shared" ca="1" si="22"/>
        <v>100</v>
      </c>
      <c r="M138" s="24">
        <v>400</v>
      </c>
      <c r="N138" s="24">
        <v>20</v>
      </c>
      <c r="O138" s="24">
        <f t="shared" ca="1" si="23"/>
        <v>616</v>
      </c>
      <c r="P138" s="24">
        <v>156</v>
      </c>
      <c r="Q138" s="11">
        <f t="shared" ca="1" si="24"/>
        <v>100</v>
      </c>
      <c r="R138" s="24">
        <v>200</v>
      </c>
      <c r="S138" s="24">
        <v>10</v>
      </c>
      <c r="T138" s="24">
        <f t="shared" ca="1" si="25"/>
        <v>466</v>
      </c>
    </row>
    <row r="139" spans="1:20" x14ac:dyDescent="0.45">
      <c r="A139" s="11">
        <v>126</v>
      </c>
      <c r="B139" s="11">
        <f t="shared" ca="1" si="13"/>
        <v>0.82438614923469944</v>
      </c>
      <c r="C139" s="11">
        <f t="shared" ca="1" si="14"/>
        <v>1600</v>
      </c>
      <c r="D139" s="11">
        <f t="shared" ca="1" si="15"/>
        <v>0.72520361704667147</v>
      </c>
      <c r="E139" s="11">
        <f t="shared" ca="1" si="16"/>
        <v>1500</v>
      </c>
      <c r="F139" s="11">
        <f t="shared" ca="1" si="17"/>
        <v>0.24835760202681501</v>
      </c>
      <c r="G139" s="11">
        <f t="shared" ca="1" si="18"/>
        <v>1200</v>
      </c>
      <c r="H139" s="11">
        <f t="shared" ca="1" si="19"/>
        <v>1200</v>
      </c>
      <c r="I139" s="11">
        <f t="shared" ca="1" si="20"/>
        <v>0.29773512002946956</v>
      </c>
      <c r="J139" s="11">
        <f t="shared" ca="1" si="21"/>
        <v>5</v>
      </c>
      <c r="K139" s="24">
        <v>96</v>
      </c>
      <c r="L139" s="24">
        <f t="shared" ca="1" si="22"/>
        <v>50</v>
      </c>
      <c r="M139" s="24">
        <v>400</v>
      </c>
      <c r="N139" s="24">
        <v>20</v>
      </c>
      <c r="O139" s="24">
        <f t="shared" ca="1" si="23"/>
        <v>566</v>
      </c>
      <c r="P139" s="24">
        <v>157</v>
      </c>
      <c r="Q139" s="11">
        <f t="shared" ca="1" si="24"/>
        <v>50</v>
      </c>
      <c r="R139" s="24">
        <v>200</v>
      </c>
      <c r="S139" s="24">
        <v>10</v>
      </c>
      <c r="T139" s="24">
        <f t="shared" ca="1" si="25"/>
        <v>417</v>
      </c>
    </row>
    <row r="140" spans="1:20" x14ac:dyDescent="0.45">
      <c r="A140" s="11">
        <v>127</v>
      </c>
      <c r="B140" s="11">
        <f t="shared" ca="1" si="13"/>
        <v>0.66394084988611368</v>
      </c>
      <c r="C140" s="11">
        <f t="shared" ca="1" si="14"/>
        <v>1400</v>
      </c>
      <c r="D140" s="11">
        <f t="shared" ca="1" si="15"/>
        <v>0.82806546816237958</v>
      </c>
      <c r="E140" s="11">
        <f t="shared" ca="1" si="16"/>
        <v>1600</v>
      </c>
      <c r="F140" s="11">
        <f t="shared" ca="1" si="17"/>
        <v>0.40183895490020893</v>
      </c>
      <c r="G140" s="11">
        <f t="shared" ca="1" si="18"/>
        <v>1200</v>
      </c>
      <c r="H140" s="11">
        <f t="shared" ca="1" si="19"/>
        <v>1200</v>
      </c>
      <c r="I140" s="11">
        <f t="shared" ca="1" si="20"/>
        <v>0.79665695260347458</v>
      </c>
      <c r="J140" s="11">
        <f t="shared" ca="1" si="21"/>
        <v>10</v>
      </c>
      <c r="K140" s="24">
        <v>96</v>
      </c>
      <c r="L140" s="24">
        <f t="shared" ca="1" si="22"/>
        <v>100</v>
      </c>
      <c r="M140" s="24">
        <v>400</v>
      </c>
      <c r="N140" s="24">
        <v>20</v>
      </c>
      <c r="O140" s="24">
        <f t="shared" ca="1" si="23"/>
        <v>616</v>
      </c>
      <c r="P140" s="24">
        <v>158</v>
      </c>
      <c r="Q140" s="11">
        <f t="shared" ca="1" si="24"/>
        <v>100</v>
      </c>
      <c r="R140" s="24">
        <v>200</v>
      </c>
      <c r="S140" s="24">
        <v>10</v>
      </c>
      <c r="T140" s="24">
        <f t="shared" ca="1" si="25"/>
        <v>468</v>
      </c>
    </row>
    <row r="141" spans="1:20" x14ac:dyDescent="0.45">
      <c r="A141" s="11">
        <v>128</v>
      </c>
      <c r="B141" s="11">
        <f t="shared" ca="1" si="13"/>
        <v>0.67487175770009267</v>
      </c>
      <c r="C141" s="11">
        <f t="shared" ca="1" si="14"/>
        <v>1400</v>
      </c>
      <c r="D141" s="11">
        <f t="shared" ca="1" si="15"/>
        <v>0.41812279158085286</v>
      </c>
      <c r="E141" s="11">
        <f t="shared" ca="1" si="16"/>
        <v>1200</v>
      </c>
      <c r="F141" s="11">
        <f t="shared" ca="1" si="17"/>
        <v>0.5764454927868593</v>
      </c>
      <c r="G141" s="11">
        <f t="shared" ca="1" si="18"/>
        <v>1300</v>
      </c>
      <c r="H141" s="11">
        <f t="shared" ca="1" si="19"/>
        <v>1200</v>
      </c>
      <c r="I141" s="11">
        <f t="shared" ca="1" si="20"/>
        <v>0.41809387915314833</v>
      </c>
      <c r="J141" s="11">
        <f t="shared" ca="1" si="21"/>
        <v>5</v>
      </c>
      <c r="K141" s="24">
        <v>96</v>
      </c>
      <c r="L141" s="24">
        <f t="shared" ca="1" si="22"/>
        <v>50</v>
      </c>
      <c r="M141" s="24">
        <v>400</v>
      </c>
      <c r="N141" s="24">
        <v>20</v>
      </c>
      <c r="O141" s="24">
        <f t="shared" ca="1" si="23"/>
        <v>566</v>
      </c>
      <c r="P141" s="24">
        <v>159</v>
      </c>
      <c r="Q141" s="11">
        <f t="shared" ca="1" si="24"/>
        <v>50</v>
      </c>
      <c r="R141" s="24">
        <v>200</v>
      </c>
      <c r="S141" s="24">
        <v>10</v>
      </c>
      <c r="T141" s="24">
        <f t="shared" ca="1" si="25"/>
        <v>419</v>
      </c>
    </row>
    <row r="142" spans="1:20" x14ac:dyDescent="0.45">
      <c r="A142" s="11">
        <v>129</v>
      </c>
      <c r="B142" s="11">
        <f t="shared" ca="1" si="13"/>
        <v>0.64004314467755241</v>
      </c>
      <c r="C142" s="11">
        <f t="shared" ca="1" si="14"/>
        <v>1400</v>
      </c>
      <c r="D142" s="11">
        <f t="shared" ca="1" si="15"/>
        <v>0.33678111916003894</v>
      </c>
      <c r="E142" s="11">
        <f t="shared" ca="1" si="16"/>
        <v>1200</v>
      </c>
      <c r="F142" s="11">
        <f t="shared" ca="1" si="17"/>
        <v>0.64976541601980486</v>
      </c>
      <c r="G142" s="11">
        <f t="shared" ca="1" si="18"/>
        <v>1400</v>
      </c>
      <c r="H142" s="11">
        <f t="shared" ca="1" si="19"/>
        <v>1200</v>
      </c>
      <c r="I142" s="11">
        <f t="shared" ca="1" si="20"/>
        <v>0.5225534156944639</v>
      </c>
      <c r="J142" s="11">
        <f t="shared" ca="1" si="21"/>
        <v>5</v>
      </c>
      <c r="K142" s="24">
        <v>96</v>
      </c>
      <c r="L142" s="24">
        <f t="shared" ca="1" si="22"/>
        <v>50</v>
      </c>
      <c r="M142" s="24">
        <v>400</v>
      </c>
      <c r="N142" s="24">
        <v>20</v>
      </c>
      <c r="O142" s="24">
        <f t="shared" ca="1" si="23"/>
        <v>566</v>
      </c>
      <c r="P142" s="24">
        <v>160</v>
      </c>
      <c r="Q142" s="11">
        <f t="shared" ca="1" si="24"/>
        <v>50</v>
      </c>
      <c r="R142" s="24">
        <v>200</v>
      </c>
      <c r="S142" s="24">
        <v>10</v>
      </c>
      <c r="T142" s="24">
        <f t="shared" ca="1" si="25"/>
        <v>420</v>
      </c>
    </row>
    <row r="143" spans="1:20" x14ac:dyDescent="0.45">
      <c r="A143" s="11">
        <v>130</v>
      </c>
      <c r="B143" s="11">
        <f t="shared" ref="B143:B206" ca="1" si="26">RAND()</f>
        <v>0.68312090942211123</v>
      </c>
      <c r="C143" s="11">
        <f t="shared" ref="C143:C206" ca="1" si="27">LOOKUP(B143, $C$2:$C$11, $A$2:$A$11)</f>
        <v>1400</v>
      </c>
      <c r="D143" s="11">
        <f t="shared" ref="D143:D206" ca="1" si="28">RAND()</f>
        <v>0.88659646224649591</v>
      </c>
      <c r="E143" s="11">
        <f t="shared" ref="E143:E206" ca="1" si="29">LOOKUP(D143, $C$2:$C$11, $A$2:$A$11)</f>
        <v>1700</v>
      </c>
      <c r="F143" s="11">
        <f t="shared" ref="F143:F206" ca="1" si="30">RAND()</f>
        <v>0.83892106965358049</v>
      </c>
      <c r="G143" s="11">
        <f t="shared" ref="G143:G206" ca="1" si="31">LOOKUP(F143, $C$2:$C$11, $A$2:$A$11)</f>
        <v>1600</v>
      </c>
      <c r="H143" s="11">
        <f t="shared" ref="H143:H206" ca="1" si="32">MIN(C143, E143, G143)</f>
        <v>1400</v>
      </c>
      <c r="I143" s="11">
        <f t="shared" ref="I143:I206" ca="1" si="33">RAND()</f>
        <v>8.4981540871274519E-2</v>
      </c>
      <c r="J143" s="11">
        <f t="shared" ref="J143:J206" ca="1" si="34">LOOKUP(I143, $G$2:$G$4, $E$2:$E$4)</f>
        <v>5</v>
      </c>
      <c r="K143" s="24">
        <v>96</v>
      </c>
      <c r="L143" s="24">
        <f t="shared" ref="L143:L206" ca="1" si="35">J143*10</f>
        <v>50</v>
      </c>
      <c r="M143" s="24">
        <v>400</v>
      </c>
      <c r="N143" s="24">
        <v>20</v>
      </c>
      <c r="O143" s="24">
        <f t="shared" ref="O143:O206" ca="1" si="36">K143+L143+M143+N143</f>
        <v>566</v>
      </c>
      <c r="P143" s="24">
        <v>161</v>
      </c>
      <c r="Q143" s="11">
        <f t="shared" ref="Q143:Q206" ca="1" si="37">J143*10</f>
        <v>50</v>
      </c>
      <c r="R143" s="24">
        <v>200</v>
      </c>
      <c r="S143" s="24">
        <v>10</v>
      </c>
      <c r="T143" s="24">
        <f t="shared" ref="T143:T206" ca="1" si="38">SUM(P143:S143)</f>
        <v>421</v>
      </c>
    </row>
    <row r="144" spans="1:20" x14ac:dyDescent="0.45">
      <c r="A144" s="11">
        <v>131</v>
      </c>
      <c r="B144" s="11">
        <f t="shared" ca="1" si="26"/>
        <v>0.30078190168647589</v>
      </c>
      <c r="C144" s="11">
        <f t="shared" ca="1" si="27"/>
        <v>1200</v>
      </c>
      <c r="D144" s="11">
        <f t="shared" ca="1" si="28"/>
        <v>0.9279537211460076</v>
      </c>
      <c r="E144" s="11">
        <f t="shared" ca="1" si="29"/>
        <v>1800</v>
      </c>
      <c r="F144" s="11">
        <f t="shared" ca="1" si="30"/>
        <v>0.47342760545339913</v>
      </c>
      <c r="G144" s="11">
        <f t="shared" ca="1" si="31"/>
        <v>1200</v>
      </c>
      <c r="H144" s="11">
        <f t="shared" ca="1" si="32"/>
        <v>1200</v>
      </c>
      <c r="I144" s="11">
        <f t="shared" ca="1" si="33"/>
        <v>1.3547189444441665E-3</v>
      </c>
      <c r="J144" s="11">
        <f t="shared" ca="1" si="34"/>
        <v>5</v>
      </c>
      <c r="K144" s="24">
        <v>96</v>
      </c>
      <c r="L144" s="24">
        <f t="shared" ca="1" si="35"/>
        <v>50</v>
      </c>
      <c r="M144" s="24">
        <v>400</v>
      </c>
      <c r="N144" s="24">
        <v>20</v>
      </c>
      <c r="O144" s="24">
        <f t="shared" ca="1" si="36"/>
        <v>566</v>
      </c>
      <c r="P144" s="24">
        <v>162</v>
      </c>
      <c r="Q144" s="11">
        <f t="shared" ca="1" si="37"/>
        <v>50</v>
      </c>
      <c r="R144" s="24">
        <v>200</v>
      </c>
      <c r="S144" s="24">
        <v>10</v>
      </c>
      <c r="T144" s="24">
        <f t="shared" ca="1" si="38"/>
        <v>422</v>
      </c>
    </row>
    <row r="145" spans="1:20" x14ac:dyDescent="0.45">
      <c r="A145" s="11">
        <v>132</v>
      </c>
      <c r="B145" s="11">
        <f t="shared" ca="1" si="26"/>
        <v>0.84021765673175119</v>
      </c>
      <c r="C145" s="11">
        <f t="shared" ca="1" si="27"/>
        <v>1700</v>
      </c>
      <c r="D145" s="11">
        <f t="shared" ca="1" si="28"/>
        <v>0.21496128557063487</v>
      </c>
      <c r="E145" s="11">
        <f t="shared" ca="1" si="29"/>
        <v>1100</v>
      </c>
      <c r="F145" s="11">
        <f t="shared" ca="1" si="30"/>
        <v>6.4215945079685088E-2</v>
      </c>
      <c r="G145" s="11">
        <f t="shared" ca="1" si="31"/>
        <v>1000</v>
      </c>
      <c r="H145" s="11">
        <f t="shared" ca="1" si="32"/>
        <v>1000</v>
      </c>
      <c r="I145" s="11">
        <f t="shared" ca="1" si="33"/>
        <v>0.70109201087592532</v>
      </c>
      <c r="J145" s="11">
        <f t="shared" ca="1" si="34"/>
        <v>10</v>
      </c>
      <c r="K145" s="24">
        <v>96</v>
      </c>
      <c r="L145" s="24">
        <f t="shared" ca="1" si="35"/>
        <v>100</v>
      </c>
      <c r="M145" s="24">
        <v>400</v>
      </c>
      <c r="N145" s="24">
        <v>20</v>
      </c>
      <c r="O145" s="24">
        <f t="shared" ca="1" si="36"/>
        <v>616</v>
      </c>
      <c r="P145" s="24">
        <v>163</v>
      </c>
      <c r="Q145" s="11">
        <f t="shared" ca="1" si="37"/>
        <v>100</v>
      </c>
      <c r="R145" s="24">
        <v>200</v>
      </c>
      <c r="S145" s="24">
        <v>10</v>
      </c>
      <c r="T145" s="24">
        <f t="shared" ca="1" si="38"/>
        <v>473</v>
      </c>
    </row>
    <row r="146" spans="1:20" x14ac:dyDescent="0.45">
      <c r="A146" s="11">
        <v>133</v>
      </c>
      <c r="B146" s="11">
        <f t="shared" ca="1" si="26"/>
        <v>0.44392914983408771</v>
      </c>
      <c r="C146" s="11">
        <f t="shared" ca="1" si="27"/>
        <v>1200</v>
      </c>
      <c r="D146" s="11">
        <f t="shared" ca="1" si="28"/>
        <v>0.15626715260859714</v>
      </c>
      <c r="E146" s="11">
        <f t="shared" ca="1" si="29"/>
        <v>1100</v>
      </c>
      <c r="F146" s="11">
        <f t="shared" ca="1" si="30"/>
        <v>0.91941579404618623</v>
      </c>
      <c r="G146" s="11">
        <f t="shared" ca="1" si="31"/>
        <v>1800</v>
      </c>
      <c r="H146" s="11">
        <f t="shared" ca="1" si="32"/>
        <v>1100</v>
      </c>
      <c r="I146" s="11">
        <f t="shared" ca="1" si="33"/>
        <v>0.69126385845617788</v>
      </c>
      <c r="J146" s="11">
        <f t="shared" ca="1" si="34"/>
        <v>10</v>
      </c>
      <c r="K146" s="24">
        <v>96</v>
      </c>
      <c r="L146" s="24">
        <f t="shared" ca="1" si="35"/>
        <v>100</v>
      </c>
      <c r="M146" s="24">
        <v>400</v>
      </c>
      <c r="N146" s="24">
        <v>20</v>
      </c>
      <c r="O146" s="24">
        <f t="shared" ca="1" si="36"/>
        <v>616</v>
      </c>
      <c r="P146" s="24">
        <v>164</v>
      </c>
      <c r="Q146" s="11">
        <f t="shared" ca="1" si="37"/>
        <v>100</v>
      </c>
      <c r="R146" s="24">
        <v>200</v>
      </c>
      <c r="S146" s="24">
        <v>10</v>
      </c>
      <c r="T146" s="24">
        <f t="shared" ca="1" si="38"/>
        <v>474</v>
      </c>
    </row>
    <row r="147" spans="1:20" x14ac:dyDescent="0.45">
      <c r="A147" s="11">
        <v>134</v>
      </c>
      <c r="B147" s="11">
        <f t="shared" ca="1" si="26"/>
        <v>0.75449105632500946</v>
      </c>
      <c r="C147" s="11">
        <f t="shared" ca="1" si="27"/>
        <v>1500</v>
      </c>
      <c r="D147" s="11">
        <f t="shared" ca="1" si="28"/>
        <v>0.71004454852717414</v>
      </c>
      <c r="E147" s="11">
        <f t="shared" ca="1" si="29"/>
        <v>1500</v>
      </c>
      <c r="F147" s="11">
        <f t="shared" ca="1" si="30"/>
        <v>0.36463393043341208</v>
      </c>
      <c r="G147" s="11">
        <f t="shared" ca="1" si="31"/>
        <v>1200</v>
      </c>
      <c r="H147" s="11">
        <f t="shared" ca="1" si="32"/>
        <v>1200</v>
      </c>
      <c r="I147" s="11">
        <f t="shared" ca="1" si="33"/>
        <v>0.57755128270652811</v>
      </c>
      <c r="J147" s="11">
        <f t="shared" ca="1" si="34"/>
        <v>5</v>
      </c>
      <c r="K147" s="24">
        <v>96</v>
      </c>
      <c r="L147" s="24">
        <f t="shared" ca="1" si="35"/>
        <v>50</v>
      </c>
      <c r="M147" s="24">
        <v>400</v>
      </c>
      <c r="N147" s="24">
        <v>20</v>
      </c>
      <c r="O147" s="24">
        <f t="shared" ca="1" si="36"/>
        <v>566</v>
      </c>
      <c r="P147" s="24">
        <v>165</v>
      </c>
      <c r="Q147" s="11">
        <f t="shared" ca="1" si="37"/>
        <v>50</v>
      </c>
      <c r="R147" s="24">
        <v>200</v>
      </c>
      <c r="S147" s="24">
        <v>10</v>
      </c>
      <c r="T147" s="24">
        <f t="shared" ca="1" si="38"/>
        <v>425</v>
      </c>
    </row>
    <row r="148" spans="1:20" x14ac:dyDescent="0.45">
      <c r="A148" s="11">
        <v>135</v>
      </c>
      <c r="B148" s="11">
        <f t="shared" ca="1" si="26"/>
        <v>0.93765735761360491</v>
      </c>
      <c r="C148" s="11">
        <f t="shared" ca="1" si="27"/>
        <v>1800</v>
      </c>
      <c r="D148" s="11">
        <f t="shared" ca="1" si="28"/>
        <v>0.23578014577326734</v>
      </c>
      <c r="E148" s="11">
        <f t="shared" ca="1" si="29"/>
        <v>1200</v>
      </c>
      <c r="F148" s="11">
        <f t="shared" ca="1" si="30"/>
        <v>0.26047519162652</v>
      </c>
      <c r="G148" s="11">
        <f t="shared" ca="1" si="31"/>
        <v>1200</v>
      </c>
      <c r="H148" s="11">
        <f t="shared" ca="1" si="32"/>
        <v>1200</v>
      </c>
      <c r="I148" s="11">
        <f t="shared" ca="1" si="33"/>
        <v>0.10900754803132551</v>
      </c>
      <c r="J148" s="11">
        <f t="shared" ca="1" si="34"/>
        <v>5</v>
      </c>
      <c r="K148" s="24">
        <v>96</v>
      </c>
      <c r="L148" s="24">
        <f t="shared" ca="1" si="35"/>
        <v>50</v>
      </c>
      <c r="M148" s="24">
        <v>400</v>
      </c>
      <c r="N148" s="24">
        <v>20</v>
      </c>
      <c r="O148" s="24">
        <f t="shared" ca="1" si="36"/>
        <v>566</v>
      </c>
      <c r="P148" s="24">
        <v>166</v>
      </c>
      <c r="Q148" s="11">
        <f t="shared" ca="1" si="37"/>
        <v>50</v>
      </c>
      <c r="R148" s="24">
        <v>200</v>
      </c>
      <c r="S148" s="24">
        <v>10</v>
      </c>
      <c r="T148" s="24">
        <f t="shared" ca="1" si="38"/>
        <v>426</v>
      </c>
    </row>
    <row r="149" spans="1:20" x14ac:dyDescent="0.45">
      <c r="A149" s="11">
        <v>136</v>
      </c>
      <c r="B149" s="11">
        <f t="shared" ca="1" si="26"/>
        <v>0.59676718225891356</v>
      </c>
      <c r="C149" s="11">
        <f t="shared" ca="1" si="27"/>
        <v>1300</v>
      </c>
      <c r="D149" s="11">
        <f t="shared" ca="1" si="28"/>
        <v>0.33010163713391527</v>
      </c>
      <c r="E149" s="11">
        <f t="shared" ca="1" si="29"/>
        <v>1200</v>
      </c>
      <c r="F149" s="11">
        <f t="shared" ca="1" si="30"/>
        <v>0.67064686683674335</v>
      </c>
      <c r="G149" s="11">
        <f t="shared" ca="1" si="31"/>
        <v>1400</v>
      </c>
      <c r="H149" s="11">
        <f t="shared" ca="1" si="32"/>
        <v>1200</v>
      </c>
      <c r="I149" s="11">
        <f t="shared" ca="1" si="33"/>
        <v>0.84076459772949852</v>
      </c>
      <c r="J149" s="11">
        <f t="shared" ca="1" si="34"/>
        <v>10</v>
      </c>
      <c r="K149" s="24">
        <v>96</v>
      </c>
      <c r="L149" s="24">
        <f t="shared" ca="1" si="35"/>
        <v>100</v>
      </c>
      <c r="M149" s="24">
        <v>400</v>
      </c>
      <c r="N149" s="24">
        <v>20</v>
      </c>
      <c r="O149" s="24">
        <f t="shared" ca="1" si="36"/>
        <v>616</v>
      </c>
      <c r="P149" s="24">
        <v>167</v>
      </c>
      <c r="Q149" s="11">
        <f t="shared" ca="1" si="37"/>
        <v>100</v>
      </c>
      <c r="R149" s="24">
        <v>200</v>
      </c>
      <c r="S149" s="24">
        <v>10</v>
      </c>
      <c r="T149" s="24">
        <f t="shared" ca="1" si="38"/>
        <v>477</v>
      </c>
    </row>
    <row r="150" spans="1:20" x14ac:dyDescent="0.45">
      <c r="A150" s="11">
        <v>137</v>
      </c>
      <c r="B150" s="11">
        <f t="shared" ca="1" si="26"/>
        <v>0.33268429145140044</v>
      </c>
      <c r="C150" s="11">
        <f t="shared" ca="1" si="27"/>
        <v>1200</v>
      </c>
      <c r="D150" s="11">
        <f t="shared" ca="1" si="28"/>
        <v>0.58295557808464793</v>
      </c>
      <c r="E150" s="11">
        <f t="shared" ca="1" si="29"/>
        <v>1300</v>
      </c>
      <c r="F150" s="11">
        <f t="shared" ca="1" si="30"/>
        <v>0.17367170241028573</v>
      </c>
      <c r="G150" s="11">
        <f t="shared" ca="1" si="31"/>
        <v>1100</v>
      </c>
      <c r="H150" s="11">
        <f t="shared" ca="1" si="32"/>
        <v>1100</v>
      </c>
      <c r="I150" s="11">
        <f t="shared" ca="1" si="33"/>
        <v>0.63636292942750661</v>
      </c>
      <c r="J150" s="11">
        <f t="shared" ca="1" si="34"/>
        <v>10</v>
      </c>
      <c r="K150" s="24">
        <v>96</v>
      </c>
      <c r="L150" s="24">
        <f t="shared" ca="1" si="35"/>
        <v>100</v>
      </c>
      <c r="M150" s="24">
        <v>400</v>
      </c>
      <c r="N150" s="24">
        <v>20</v>
      </c>
      <c r="O150" s="24">
        <f t="shared" ca="1" si="36"/>
        <v>616</v>
      </c>
      <c r="P150" s="24">
        <v>168</v>
      </c>
      <c r="Q150" s="11">
        <f t="shared" ca="1" si="37"/>
        <v>100</v>
      </c>
      <c r="R150" s="24">
        <v>200</v>
      </c>
      <c r="S150" s="24">
        <v>10</v>
      </c>
      <c r="T150" s="24">
        <f t="shared" ca="1" si="38"/>
        <v>478</v>
      </c>
    </row>
    <row r="151" spans="1:20" x14ac:dyDescent="0.45">
      <c r="A151" s="11">
        <v>138</v>
      </c>
      <c r="B151" s="11">
        <f t="shared" ca="1" si="26"/>
        <v>0.46828570142224624</v>
      </c>
      <c r="C151" s="11">
        <f t="shared" ca="1" si="27"/>
        <v>1200</v>
      </c>
      <c r="D151" s="11">
        <f t="shared" ca="1" si="28"/>
        <v>0.74118041627473474</v>
      </c>
      <c r="E151" s="11">
        <f t="shared" ca="1" si="29"/>
        <v>1500</v>
      </c>
      <c r="F151" s="11">
        <f t="shared" ca="1" si="30"/>
        <v>0.63222232079092811</v>
      </c>
      <c r="G151" s="11">
        <f t="shared" ca="1" si="31"/>
        <v>1400</v>
      </c>
      <c r="H151" s="11">
        <f t="shared" ca="1" si="32"/>
        <v>1200</v>
      </c>
      <c r="I151" s="11">
        <f t="shared" ca="1" si="33"/>
        <v>0.62648181469522934</v>
      </c>
      <c r="J151" s="11">
        <f t="shared" ca="1" si="34"/>
        <v>10</v>
      </c>
      <c r="K151" s="24">
        <v>96</v>
      </c>
      <c r="L151" s="24">
        <f t="shared" ca="1" si="35"/>
        <v>100</v>
      </c>
      <c r="M151" s="24">
        <v>400</v>
      </c>
      <c r="N151" s="24">
        <v>20</v>
      </c>
      <c r="O151" s="24">
        <f t="shared" ca="1" si="36"/>
        <v>616</v>
      </c>
      <c r="P151" s="24">
        <v>169</v>
      </c>
      <c r="Q151" s="11">
        <f t="shared" ca="1" si="37"/>
        <v>100</v>
      </c>
      <c r="R151" s="24">
        <v>200</v>
      </c>
      <c r="S151" s="24">
        <v>10</v>
      </c>
      <c r="T151" s="24">
        <f t="shared" ca="1" si="38"/>
        <v>479</v>
      </c>
    </row>
    <row r="152" spans="1:20" x14ac:dyDescent="0.45">
      <c r="A152" s="11">
        <v>139</v>
      </c>
      <c r="B152" s="11">
        <f t="shared" ca="1" si="26"/>
        <v>8.996925436192138E-2</v>
      </c>
      <c r="C152" s="11">
        <f t="shared" ca="1" si="27"/>
        <v>1000</v>
      </c>
      <c r="D152" s="11">
        <f t="shared" ca="1" si="28"/>
        <v>0.9678989675852232</v>
      </c>
      <c r="E152" s="11">
        <f t="shared" ca="1" si="29"/>
        <v>1900</v>
      </c>
      <c r="F152" s="11">
        <f t="shared" ca="1" si="30"/>
        <v>0.54028963880384695</v>
      </c>
      <c r="G152" s="11">
        <f t="shared" ca="1" si="31"/>
        <v>1300</v>
      </c>
      <c r="H152" s="11">
        <f t="shared" ca="1" si="32"/>
        <v>1000</v>
      </c>
      <c r="I152" s="11">
        <f t="shared" ca="1" si="33"/>
        <v>0.93627787940610319</v>
      </c>
      <c r="J152" s="11">
        <f t="shared" ca="1" si="34"/>
        <v>15</v>
      </c>
      <c r="K152" s="24">
        <v>96</v>
      </c>
      <c r="L152" s="24">
        <f t="shared" ca="1" si="35"/>
        <v>150</v>
      </c>
      <c r="M152" s="24">
        <v>400</v>
      </c>
      <c r="N152" s="24">
        <v>20</v>
      </c>
      <c r="O152" s="24">
        <f t="shared" ca="1" si="36"/>
        <v>666</v>
      </c>
      <c r="P152" s="24">
        <v>170</v>
      </c>
      <c r="Q152" s="11">
        <f t="shared" ca="1" si="37"/>
        <v>150</v>
      </c>
      <c r="R152" s="24">
        <v>200</v>
      </c>
      <c r="S152" s="24">
        <v>10</v>
      </c>
      <c r="T152" s="24">
        <f t="shared" ca="1" si="38"/>
        <v>530</v>
      </c>
    </row>
    <row r="153" spans="1:20" x14ac:dyDescent="0.45">
      <c r="A153" s="11">
        <v>140</v>
      </c>
      <c r="B153" s="11">
        <f t="shared" ca="1" si="26"/>
        <v>0.29519211185098559</v>
      </c>
      <c r="C153" s="11">
        <f t="shared" ca="1" si="27"/>
        <v>1200</v>
      </c>
      <c r="D153" s="11">
        <f t="shared" ca="1" si="28"/>
        <v>0.63785570538454217</v>
      </c>
      <c r="E153" s="11">
        <f t="shared" ca="1" si="29"/>
        <v>1400</v>
      </c>
      <c r="F153" s="11">
        <f t="shared" ca="1" si="30"/>
        <v>0.23253331264452504</v>
      </c>
      <c r="G153" s="11">
        <f t="shared" ca="1" si="31"/>
        <v>1200</v>
      </c>
      <c r="H153" s="11">
        <f t="shared" ca="1" si="32"/>
        <v>1200</v>
      </c>
      <c r="I153" s="11">
        <f t="shared" ca="1" si="33"/>
        <v>8.4469571219826012E-2</v>
      </c>
      <c r="J153" s="11">
        <f t="shared" ca="1" si="34"/>
        <v>5</v>
      </c>
      <c r="K153" s="24">
        <v>96</v>
      </c>
      <c r="L153" s="24">
        <f t="shared" ca="1" si="35"/>
        <v>50</v>
      </c>
      <c r="M153" s="24">
        <v>400</v>
      </c>
      <c r="N153" s="24">
        <v>20</v>
      </c>
      <c r="O153" s="24">
        <f t="shared" ca="1" si="36"/>
        <v>566</v>
      </c>
      <c r="P153" s="24">
        <v>171</v>
      </c>
      <c r="Q153" s="11">
        <f t="shared" ca="1" si="37"/>
        <v>50</v>
      </c>
      <c r="R153" s="24">
        <v>200</v>
      </c>
      <c r="S153" s="24">
        <v>10</v>
      </c>
      <c r="T153" s="24">
        <f t="shared" ca="1" si="38"/>
        <v>431</v>
      </c>
    </row>
    <row r="154" spans="1:20" x14ac:dyDescent="0.45">
      <c r="A154" s="11">
        <v>141</v>
      </c>
      <c r="B154" s="11">
        <f t="shared" ca="1" si="26"/>
        <v>0.60190956372959115</v>
      </c>
      <c r="C154" s="11">
        <f t="shared" ca="1" si="27"/>
        <v>1300</v>
      </c>
      <c r="D154" s="11">
        <f t="shared" ca="1" si="28"/>
        <v>0.41173599962439034</v>
      </c>
      <c r="E154" s="11">
        <f t="shared" ca="1" si="29"/>
        <v>1200</v>
      </c>
      <c r="F154" s="11">
        <f t="shared" ca="1" si="30"/>
        <v>0.94670169301449802</v>
      </c>
      <c r="G154" s="11">
        <f t="shared" ca="1" si="31"/>
        <v>1800</v>
      </c>
      <c r="H154" s="11">
        <f t="shared" ca="1" si="32"/>
        <v>1200</v>
      </c>
      <c r="I154" s="11">
        <f t="shared" ca="1" si="33"/>
        <v>0.43554734911016835</v>
      </c>
      <c r="J154" s="11">
        <f t="shared" ca="1" si="34"/>
        <v>5</v>
      </c>
      <c r="K154" s="24">
        <v>96</v>
      </c>
      <c r="L154" s="24">
        <f t="shared" ca="1" si="35"/>
        <v>50</v>
      </c>
      <c r="M154" s="24">
        <v>400</v>
      </c>
      <c r="N154" s="24">
        <v>20</v>
      </c>
      <c r="O154" s="24">
        <f t="shared" ca="1" si="36"/>
        <v>566</v>
      </c>
      <c r="P154" s="24">
        <v>172</v>
      </c>
      <c r="Q154" s="11">
        <f t="shared" ca="1" si="37"/>
        <v>50</v>
      </c>
      <c r="R154" s="24">
        <v>200</v>
      </c>
      <c r="S154" s="24">
        <v>10</v>
      </c>
      <c r="T154" s="24">
        <f t="shared" ca="1" si="38"/>
        <v>432</v>
      </c>
    </row>
    <row r="155" spans="1:20" x14ac:dyDescent="0.45">
      <c r="A155" s="11">
        <v>142</v>
      </c>
      <c r="B155" s="11">
        <f t="shared" ca="1" si="26"/>
        <v>0.55195592495933077</v>
      </c>
      <c r="C155" s="11">
        <f t="shared" ca="1" si="27"/>
        <v>1300</v>
      </c>
      <c r="D155" s="11">
        <f t="shared" ca="1" si="28"/>
        <v>0.2098336496512665</v>
      </c>
      <c r="E155" s="11">
        <f t="shared" ca="1" si="29"/>
        <v>1100</v>
      </c>
      <c r="F155" s="11">
        <f t="shared" ca="1" si="30"/>
        <v>0.53020915996502294</v>
      </c>
      <c r="G155" s="11">
        <f t="shared" ca="1" si="31"/>
        <v>1300</v>
      </c>
      <c r="H155" s="11">
        <f t="shared" ca="1" si="32"/>
        <v>1100</v>
      </c>
      <c r="I155" s="11">
        <f t="shared" ca="1" si="33"/>
        <v>0.30698146970398332</v>
      </c>
      <c r="J155" s="11">
        <f t="shared" ca="1" si="34"/>
        <v>5</v>
      </c>
      <c r="K155" s="24">
        <v>96</v>
      </c>
      <c r="L155" s="24">
        <f t="shared" ca="1" si="35"/>
        <v>50</v>
      </c>
      <c r="M155" s="24">
        <v>400</v>
      </c>
      <c r="N155" s="24">
        <v>20</v>
      </c>
      <c r="O155" s="24">
        <f t="shared" ca="1" si="36"/>
        <v>566</v>
      </c>
      <c r="P155" s="24">
        <v>173</v>
      </c>
      <c r="Q155" s="11">
        <f t="shared" ca="1" si="37"/>
        <v>50</v>
      </c>
      <c r="R155" s="24">
        <v>200</v>
      </c>
      <c r="S155" s="24">
        <v>10</v>
      </c>
      <c r="T155" s="24">
        <f t="shared" ca="1" si="38"/>
        <v>433</v>
      </c>
    </row>
    <row r="156" spans="1:20" x14ac:dyDescent="0.45">
      <c r="A156" s="11">
        <v>143</v>
      </c>
      <c r="B156" s="11">
        <f t="shared" ca="1" si="26"/>
        <v>0.74242982606972496</v>
      </c>
      <c r="C156" s="11">
        <f t="shared" ca="1" si="27"/>
        <v>1500</v>
      </c>
      <c r="D156" s="11">
        <f t="shared" ca="1" si="28"/>
        <v>0.47312925120598004</v>
      </c>
      <c r="E156" s="11">
        <f t="shared" ca="1" si="29"/>
        <v>1200</v>
      </c>
      <c r="F156" s="11">
        <f t="shared" ca="1" si="30"/>
        <v>5.2399054354887564E-2</v>
      </c>
      <c r="G156" s="11">
        <f t="shared" ca="1" si="31"/>
        <v>1000</v>
      </c>
      <c r="H156" s="11">
        <f t="shared" ca="1" si="32"/>
        <v>1000</v>
      </c>
      <c r="I156" s="11">
        <f t="shared" ca="1" si="33"/>
        <v>0.92401925450714939</v>
      </c>
      <c r="J156" s="11">
        <f t="shared" ca="1" si="34"/>
        <v>15</v>
      </c>
      <c r="K156" s="24">
        <v>96</v>
      </c>
      <c r="L156" s="24">
        <f t="shared" ca="1" si="35"/>
        <v>150</v>
      </c>
      <c r="M156" s="24">
        <v>400</v>
      </c>
      <c r="N156" s="24">
        <v>20</v>
      </c>
      <c r="O156" s="24">
        <f t="shared" ca="1" si="36"/>
        <v>666</v>
      </c>
      <c r="P156" s="24">
        <v>174</v>
      </c>
      <c r="Q156" s="11">
        <f t="shared" ca="1" si="37"/>
        <v>150</v>
      </c>
      <c r="R156" s="24">
        <v>200</v>
      </c>
      <c r="S156" s="24">
        <v>10</v>
      </c>
      <c r="T156" s="24">
        <f t="shared" ca="1" si="38"/>
        <v>534</v>
      </c>
    </row>
    <row r="157" spans="1:20" x14ac:dyDescent="0.45">
      <c r="A157" s="11">
        <v>144</v>
      </c>
      <c r="B157" s="11">
        <f t="shared" ca="1" si="26"/>
        <v>0.38059967998327049</v>
      </c>
      <c r="C157" s="11">
        <f t="shared" ca="1" si="27"/>
        <v>1200</v>
      </c>
      <c r="D157" s="11">
        <f t="shared" ca="1" si="28"/>
        <v>0.2061284678402916</v>
      </c>
      <c r="E157" s="11">
        <f t="shared" ca="1" si="29"/>
        <v>1100</v>
      </c>
      <c r="F157" s="11">
        <f t="shared" ca="1" si="30"/>
        <v>0.95239052463944551</v>
      </c>
      <c r="G157" s="11">
        <f t="shared" ca="1" si="31"/>
        <v>1900</v>
      </c>
      <c r="H157" s="11">
        <f t="shared" ca="1" si="32"/>
        <v>1100</v>
      </c>
      <c r="I157" s="11">
        <f t="shared" ca="1" si="33"/>
        <v>0.69091380174866845</v>
      </c>
      <c r="J157" s="11">
        <f t="shared" ca="1" si="34"/>
        <v>10</v>
      </c>
      <c r="K157" s="24">
        <v>96</v>
      </c>
      <c r="L157" s="24">
        <f t="shared" ca="1" si="35"/>
        <v>100</v>
      </c>
      <c r="M157" s="24">
        <v>400</v>
      </c>
      <c r="N157" s="24">
        <v>20</v>
      </c>
      <c r="O157" s="24">
        <f t="shared" ca="1" si="36"/>
        <v>616</v>
      </c>
      <c r="P157" s="24">
        <v>175</v>
      </c>
      <c r="Q157" s="11">
        <f t="shared" ca="1" si="37"/>
        <v>100</v>
      </c>
      <c r="R157" s="24">
        <v>200</v>
      </c>
      <c r="S157" s="24">
        <v>10</v>
      </c>
      <c r="T157" s="24">
        <f t="shared" ca="1" si="38"/>
        <v>485</v>
      </c>
    </row>
    <row r="158" spans="1:20" x14ac:dyDescent="0.45">
      <c r="A158" s="11">
        <v>145</v>
      </c>
      <c r="B158" s="11">
        <f t="shared" ca="1" si="26"/>
        <v>0.7415211350261024</v>
      </c>
      <c r="C158" s="11">
        <f t="shared" ca="1" si="27"/>
        <v>1500</v>
      </c>
      <c r="D158" s="11">
        <f t="shared" ca="1" si="28"/>
        <v>0.69109475555507793</v>
      </c>
      <c r="E158" s="11">
        <f t="shared" ca="1" si="29"/>
        <v>1400</v>
      </c>
      <c r="F158" s="11">
        <f t="shared" ca="1" si="30"/>
        <v>0.82692165709174748</v>
      </c>
      <c r="G158" s="11">
        <f t="shared" ca="1" si="31"/>
        <v>1600</v>
      </c>
      <c r="H158" s="11">
        <f t="shared" ca="1" si="32"/>
        <v>1400</v>
      </c>
      <c r="I158" s="11">
        <f t="shared" ca="1" si="33"/>
        <v>0.45181552523844548</v>
      </c>
      <c r="J158" s="11">
        <f t="shared" ca="1" si="34"/>
        <v>5</v>
      </c>
      <c r="K158" s="24">
        <v>96</v>
      </c>
      <c r="L158" s="24">
        <f t="shared" ca="1" si="35"/>
        <v>50</v>
      </c>
      <c r="M158" s="24">
        <v>400</v>
      </c>
      <c r="N158" s="24">
        <v>20</v>
      </c>
      <c r="O158" s="24">
        <f t="shared" ca="1" si="36"/>
        <v>566</v>
      </c>
      <c r="P158" s="24">
        <v>176</v>
      </c>
      <c r="Q158" s="11">
        <f t="shared" ca="1" si="37"/>
        <v>50</v>
      </c>
      <c r="R158" s="24">
        <v>200</v>
      </c>
      <c r="S158" s="24">
        <v>10</v>
      </c>
      <c r="T158" s="24">
        <f t="shared" ca="1" si="38"/>
        <v>436</v>
      </c>
    </row>
    <row r="159" spans="1:20" x14ac:dyDescent="0.45">
      <c r="A159" s="11">
        <v>146</v>
      </c>
      <c r="B159" s="11">
        <f t="shared" ca="1" si="26"/>
        <v>0.11751703680953629</v>
      </c>
      <c r="C159" s="11">
        <f t="shared" ca="1" si="27"/>
        <v>1100</v>
      </c>
      <c r="D159" s="11">
        <f t="shared" ca="1" si="28"/>
        <v>0.44137145587598281</v>
      </c>
      <c r="E159" s="11">
        <f t="shared" ca="1" si="29"/>
        <v>1200</v>
      </c>
      <c r="F159" s="11">
        <f t="shared" ca="1" si="30"/>
        <v>0.24323107233030383</v>
      </c>
      <c r="G159" s="11">
        <f t="shared" ca="1" si="31"/>
        <v>1200</v>
      </c>
      <c r="H159" s="11">
        <f t="shared" ca="1" si="32"/>
        <v>1100</v>
      </c>
      <c r="I159" s="11">
        <f t="shared" ca="1" si="33"/>
        <v>0.93970248795958422</v>
      </c>
      <c r="J159" s="11">
        <f t="shared" ca="1" si="34"/>
        <v>15</v>
      </c>
      <c r="K159" s="24">
        <v>96</v>
      </c>
      <c r="L159" s="24">
        <f t="shared" ca="1" si="35"/>
        <v>150</v>
      </c>
      <c r="M159" s="24">
        <v>400</v>
      </c>
      <c r="N159" s="24">
        <v>20</v>
      </c>
      <c r="O159" s="24">
        <f t="shared" ca="1" si="36"/>
        <v>666</v>
      </c>
      <c r="P159" s="24">
        <v>177</v>
      </c>
      <c r="Q159" s="11">
        <f t="shared" ca="1" si="37"/>
        <v>150</v>
      </c>
      <c r="R159" s="24">
        <v>200</v>
      </c>
      <c r="S159" s="24">
        <v>10</v>
      </c>
      <c r="T159" s="24">
        <f t="shared" ca="1" si="38"/>
        <v>537</v>
      </c>
    </row>
    <row r="160" spans="1:20" x14ac:dyDescent="0.45">
      <c r="A160" s="11">
        <v>147</v>
      </c>
      <c r="B160" s="11">
        <f t="shared" ca="1" si="26"/>
        <v>4.4843957117110977E-2</v>
      </c>
      <c r="C160" s="11">
        <f t="shared" ca="1" si="27"/>
        <v>1000</v>
      </c>
      <c r="D160" s="11">
        <f t="shared" ca="1" si="28"/>
        <v>0.34733383441888455</v>
      </c>
      <c r="E160" s="11">
        <f t="shared" ca="1" si="29"/>
        <v>1200</v>
      </c>
      <c r="F160" s="11">
        <f t="shared" ca="1" si="30"/>
        <v>0.20495832644593948</v>
      </c>
      <c r="G160" s="11">
        <f t="shared" ca="1" si="31"/>
        <v>1100</v>
      </c>
      <c r="H160" s="11">
        <f t="shared" ca="1" si="32"/>
        <v>1000</v>
      </c>
      <c r="I160" s="11">
        <f t="shared" ca="1" si="33"/>
        <v>6.0386044772851699E-2</v>
      </c>
      <c r="J160" s="11">
        <f t="shared" ca="1" si="34"/>
        <v>5</v>
      </c>
      <c r="K160" s="24">
        <v>96</v>
      </c>
      <c r="L160" s="24">
        <f t="shared" ca="1" si="35"/>
        <v>50</v>
      </c>
      <c r="M160" s="24">
        <v>400</v>
      </c>
      <c r="N160" s="24">
        <v>20</v>
      </c>
      <c r="O160" s="24">
        <f t="shared" ca="1" si="36"/>
        <v>566</v>
      </c>
      <c r="P160" s="24">
        <v>178</v>
      </c>
      <c r="Q160" s="11">
        <f t="shared" ca="1" si="37"/>
        <v>50</v>
      </c>
      <c r="R160" s="24">
        <v>200</v>
      </c>
      <c r="S160" s="24">
        <v>10</v>
      </c>
      <c r="T160" s="24">
        <f t="shared" ca="1" si="38"/>
        <v>438</v>
      </c>
    </row>
    <row r="161" spans="1:20" x14ac:dyDescent="0.45">
      <c r="A161" s="11">
        <v>148</v>
      </c>
      <c r="B161" s="11">
        <f t="shared" ca="1" si="26"/>
        <v>0.30814157138324605</v>
      </c>
      <c r="C161" s="11">
        <f t="shared" ca="1" si="27"/>
        <v>1200</v>
      </c>
      <c r="D161" s="11">
        <f t="shared" ca="1" si="28"/>
        <v>0.96599664550090103</v>
      </c>
      <c r="E161" s="11">
        <f t="shared" ca="1" si="29"/>
        <v>1900</v>
      </c>
      <c r="F161" s="11">
        <f t="shared" ca="1" si="30"/>
        <v>0.89917591857336643</v>
      </c>
      <c r="G161" s="11">
        <f t="shared" ca="1" si="31"/>
        <v>1700</v>
      </c>
      <c r="H161" s="11">
        <f t="shared" ca="1" si="32"/>
        <v>1200</v>
      </c>
      <c r="I161" s="11">
        <f t="shared" ca="1" si="33"/>
        <v>0.88948203689171645</v>
      </c>
      <c r="J161" s="11">
        <f t="shared" ca="1" si="34"/>
        <v>10</v>
      </c>
      <c r="K161" s="24">
        <v>96</v>
      </c>
      <c r="L161" s="24">
        <f t="shared" ca="1" si="35"/>
        <v>100</v>
      </c>
      <c r="M161" s="24">
        <v>400</v>
      </c>
      <c r="N161" s="24">
        <v>20</v>
      </c>
      <c r="O161" s="24">
        <f t="shared" ca="1" si="36"/>
        <v>616</v>
      </c>
      <c r="P161" s="24">
        <v>179</v>
      </c>
      <c r="Q161" s="11">
        <f t="shared" ca="1" si="37"/>
        <v>100</v>
      </c>
      <c r="R161" s="24">
        <v>200</v>
      </c>
      <c r="S161" s="24">
        <v>10</v>
      </c>
      <c r="T161" s="24">
        <f t="shared" ca="1" si="38"/>
        <v>489</v>
      </c>
    </row>
    <row r="162" spans="1:20" x14ac:dyDescent="0.45">
      <c r="A162" s="11">
        <v>149</v>
      </c>
      <c r="B162" s="11">
        <f t="shared" ca="1" si="26"/>
        <v>0.27700130418144153</v>
      </c>
      <c r="C162" s="11">
        <f t="shared" ca="1" si="27"/>
        <v>1200</v>
      </c>
      <c r="D162" s="11">
        <f t="shared" ca="1" si="28"/>
        <v>0.61204799965925805</v>
      </c>
      <c r="E162" s="11">
        <f t="shared" ca="1" si="29"/>
        <v>1400</v>
      </c>
      <c r="F162" s="11">
        <f t="shared" ca="1" si="30"/>
        <v>2.53639717942723E-2</v>
      </c>
      <c r="G162" s="11">
        <f t="shared" ca="1" si="31"/>
        <v>1000</v>
      </c>
      <c r="H162" s="11">
        <f t="shared" ca="1" si="32"/>
        <v>1000</v>
      </c>
      <c r="I162" s="11">
        <f t="shared" ca="1" si="33"/>
        <v>0.93776562597523039</v>
      </c>
      <c r="J162" s="11">
        <f t="shared" ca="1" si="34"/>
        <v>15</v>
      </c>
      <c r="K162" s="24">
        <v>96</v>
      </c>
      <c r="L162" s="24">
        <f t="shared" ca="1" si="35"/>
        <v>150</v>
      </c>
      <c r="M162" s="24">
        <v>400</v>
      </c>
      <c r="N162" s="24">
        <v>20</v>
      </c>
      <c r="O162" s="24">
        <f t="shared" ca="1" si="36"/>
        <v>666</v>
      </c>
      <c r="P162" s="24">
        <v>180</v>
      </c>
      <c r="Q162" s="11">
        <f t="shared" ca="1" si="37"/>
        <v>150</v>
      </c>
      <c r="R162" s="24">
        <v>200</v>
      </c>
      <c r="S162" s="24">
        <v>10</v>
      </c>
      <c r="T162" s="24">
        <f t="shared" ca="1" si="38"/>
        <v>540</v>
      </c>
    </row>
    <row r="163" spans="1:20" x14ac:dyDescent="0.45">
      <c r="A163" s="11">
        <v>150</v>
      </c>
      <c r="B163" s="11">
        <f t="shared" ca="1" si="26"/>
        <v>0.29810401190929414</v>
      </c>
      <c r="C163" s="11">
        <f t="shared" ca="1" si="27"/>
        <v>1200</v>
      </c>
      <c r="D163" s="11">
        <f t="shared" ca="1" si="28"/>
        <v>0.75227973351267008</v>
      </c>
      <c r="E163" s="11">
        <f t="shared" ca="1" si="29"/>
        <v>1500</v>
      </c>
      <c r="F163" s="11">
        <f t="shared" ca="1" si="30"/>
        <v>0.81865746852042198</v>
      </c>
      <c r="G163" s="11">
        <f t="shared" ca="1" si="31"/>
        <v>1500</v>
      </c>
      <c r="H163" s="11">
        <f t="shared" ca="1" si="32"/>
        <v>1200</v>
      </c>
      <c r="I163" s="11">
        <f t="shared" ca="1" si="33"/>
        <v>0.46877550175517413</v>
      </c>
      <c r="J163" s="11">
        <f t="shared" ca="1" si="34"/>
        <v>5</v>
      </c>
      <c r="K163" s="24">
        <v>96</v>
      </c>
      <c r="L163" s="24">
        <f t="shared" ca="1" si="35"/>
        <v>50</v>
      </c>
      <c r="M163" s="24">
        <v>400</v>
      </c>
      <c r="N163" s="24">
        <v>20</v>
      </c>
      <c r="O163" s="24">
        <f t="shared" ca="1" si="36"/>
        <v>566</v>
      </c>
      <c r="P163" s="24">
        <v>181</v>
      </c>
      <c r="Q163" s="11">
        <f t="shared" ca="1" si="37"/>
        <v>50</v>
      </c>
      <c r="R163" s="24">
        <v>200</v>
      </c>
      <c r="S163" s="24">
        <v>10</v>
      </c>
      <c r="T163" s="24">
        <f t="shared" ca="1" si="38"/>
        <v>441</v>
      </c>
    </row>
    <row r="164" spans="1:20" x14ac:dyDescent="0.45">
      <c r="A164" s="11">
        <v>151</v>
      </c>
      <c r="B164" s="11">
        <f t="shared" ca="1" si="26"/>
        <v>0.31389005673964399</v>
      </c>
      <c r="C164" s="11">
        <f t="shared" ca="1" si="27"/>
        <v>1200</v>
      </c>
      <c r="D164" s="11">
        <f t="shared" ca="1" si="28"/>
        <v>0.87481772584988282</v>
      </c>
      <c r="E164" s="11">
        <f t="shared" ca="1" si="29"/>
        <v>1700</v>
      </c>
      <c r="F164" s="11">
        <f t="shared" ca="1" si="30"/>
        <v>4.0680363401137343E-2</v>
      </c>
      <c r="G164" s="11">
        <f t="shared" ca="1" si="31"/>
        <v>1000</v>
      </c>
      <c r="H164" s="11">
        <f t="shared" ca="1" si="32"/>
        <v>1000</v>
      </c>
      <c r="I164" s="11">
        <f t="shared" ca="1" si="33"/>
        <v>0.36791056984778603</v>
      </c>
      <c r="J164" s="11">
        <f t="shared" ca="1" si="34"/>
        <v>5</v>
      </c>
      <c r="K164" s="24">
        <v>96</v>
      </c>
      <c r="L164" s="24">
        <f t="shared" ca="1" si="35"/>
        <v>50</v>
      </c>
      <c r="M164" s="24">
        <v>400</v>
      </c>
      <c r="N164" s="24">
        <v>20</v>
      </c>
      <c r="O164" s="24">
        <f t="shared" ca="1" si="36"/>
        <v>566</v>
      </c>
      <c r="P164" s="24">
        <v>182</v>
      </c>
      <c r="Q164" s="11">
        <f t="shared" ca="1" si="37"/>
        <v>50</v>
      </c>
      <c r="R164" s="24">
        <v>200</v>
      </c>
      <c r="S164" s="24">
        <v>10</v>
      </c>
      <c r="T164" s="24">
        <f t="shared" ca="1" si="38"/>
        <v>442</v>
      </c>
    </row>
    <row r="165" spans="1:20" x14ac:dyDescent="0.45">
      <c r="A165" s="11">
        <v>152</v>
      </c>
      <c r="B165" s="11">
        <f t="shared" ca="1" si="26"/>
        <v>0.18854159459872344</v>
      </c>
      <c r="C165" s="11">
        <f t="shared" ca="1" si="27"/>
        <v>1100</v>
      </c>
      <c r="D165" s="11">
        <f t="shared" ca="1" si="28"/>
        <v>0.49080073865817386</v>
      </c>
      <c r="E165" s="11">
        <f t="shared" ca="1" si="29"/>
        <v>1300</v>
      </c>
      <c r="F165" s="11">
        <f t="shared" ca="1" si="30"/>
        <v>0.14533531156860668</v>
      </c>
      <c r="G165" s="11">
        <f t="shared" ca="1" si="31"/>
        <v>1100</v>
      </c>
      <c r="H165" s="11">
        <f t="shared" ca="1" si="32"/>
        <v>1100</v>
      </c>
      <c r="I165" s="11">
        <f t="shared" ca="1" si="33"/>
        <v>0.2096636681601679</v>
      </c>
      <c r="J165" s="11">
        <f t="shared" ca="1" si="34"/>
        <v>5</v>
      </c>
      <c r="K165" s="24">
        <v>96</v>
      </c>
      <c r="L165" s="24">
        <f t="shared" ca="1" si="35"/>
        <v>50</v>
      </c>
      <c r="M165" s="24">
        <v>400</v>
      </c>
      <c r="N165" s="24">
        <v>20</v>
      </c>
      <c r="O165" s="24">
        <f t="shared" ca="1" si="36"/>
        <v>566</v>
      </c>
      <c r="P165" s="24">
        <v>183</v>
      </c>
      <c r="Q165" s="11">
        <f t="shared" ca="1" si="37"/>
        <v>50</v>
      </c>
      <c r="R165" s="24">
        <v>200</v>
      </c>
      <c r="S165" s="24">
        <v>10</v>
      </c>
      <c r="T165" s="24">
        <f t="shared" ca="1" si="38"/>
        <v>443</v>
      </c>
    </row>
    <row r="166" spans="1:20" x14ac:dyDescent="0.45">
      <c r="A166" s="11">
        <v>153</v>
      </c>
      <c r="B166" s="11">
        <f t="shared" ca="1" si="26"/>
        <v>0.34396890126736068</v>
      </c>
      <c r="C166" s="11">
        <f t="shared" ca="1" si="27"/>
        <v>1200</v>
      </c>
      <c r="D166" s="11">
        <f t="shared" ca="1" si="28"/>
        <v>2.7474875663842102E-2</v>
      </c>
      <c r="E166" s="11">
        <f t="shared" ca="1" si="29"/>
        <v>1000</v>
      </c>
      <c r="F166" s="11">
        <f t="shared" ca="1" si="30"/>
        <v>0.76068891195016897</v>
      </c>
      <c r="G166" s="11">
        <f t="shared" ca="1" si="31"/>
        <v>1500</v>
      </c>
      <c r="H166" s="11">
        <f t="shared" ca="1" si="32"/>
        <v>1000</v>
      </c>
      <c r="I166" s="11">
        <f t="shared" ca="1" si="33"/>
        <v>0.98552349044712606</v>
      </c>
      <c r="J166" s="11">
        <f t="shared" ca="1" si="34"/>
        <v>15</v>
      </c>
      <c r="K166" s="24">
        <v>96</v>
      </c>
      <c r="L166" s="24">
        <f t="shared" ca="1" si="35"/>
        <v>150</v>
      </c>
      <c r="M166" s="24">
        <v>400</v>
      </c>
      <c r="N166" s="24">
        <v>20</v>
      </c>
      <c r="O166" s="24">
        <f t="shared" ca="1" si="36"/>
        <v>666</v>
      </c>
      <c r="P166" s="24">
        <v>184</v>
      </c>
      <c r="Q166" s="11">
        <f t="shared" ca="1" si="37"/>
        <v>150</v>
      </c>
      <c r="R166" s="24">
        <v>200</v>
      </c>
      <c r="S166" s="24">
        <v>10</v>
      </c>
      <c r="T166" s="24">
        <f t="shared" ca="1" si="38"/>
        <v>544</v>
      </c>
    </row>
    <row r="167" spans="1:20" x14ac:dyDescent="0.45">
      <c r="A167" s="11">
        <v>154</v>
      </c>
      <c r="B167" s="11">
        <f t="shared" ca="1" si="26"/>
        <v>0.13612477687265334</v>
      </c>
      <c r="C167" s="11">
        <f t="shared" ca="1" si="27"/>
        <v>1100</v>
      </c>
      <c r="D167" s="11">
        <f t="shared" ca="1" si="28"/>
        <v>0.13809279051646495</v>
      </c>
      <c r="E167" s="11">
        <f t="shared" ca="1" si="29"/>
        <v>1100</v>
      </c>
      <c r="F167" s="11">
        <f t="shared" ca="1" si="30"/>
        <v>0.32735607445909742</v>
      </c>
      <c r="G167" s="11">
        <f t="shared" ca="1" si="31"/>
        <v>1200</v>
      </c>
      <c r="H167" s="11">
        <f t="shared" ca="1" si="32"/>
        <v>1100</v>
      </c>
      <c r="I167" s="11">
        <f t="shared" ca="1" si="33"/>
        <v>0.82494752630046952</v>
      </c>
      <c r="J167" s="11">
        <f t="shared" ca="1" si="34"/>
        <v>10</v>
      </c>
      <c r="K167" s="24">
        <v>96</v>
      </c>
      <c r="L167" s="24">
        <f t="shared" ca="1" si="35"/>
        <v>100</v>
      </c>
      <c r="M167" s="24">
        <v>400</v>
      </c>
      <c r="N167" s="24">
        <v>20</v>
      </c>
      <c r="O167" s="24">
        <f t="shared" ca="1" si="36"/>
        <v>616</v>
      </c>
      <c r="P167" s="24">
        <v>185</v>
      </c>
      <c r="Q167" s="11">
        <f t="shared" ca="1" si="37"/>
        <v>100</v>
      </c>
      <c r="R167" s="24">
        <v>200</v>
      </c>
      <c r="S167" s="24">
        <v>10</v>
      </c>
      <c r="T167" s="24">
        <f t="shared" ca="1" si="38"/>
        <v>495</v>
      </c>
    </row>
    <row r="168" spans="1:20" x14ac:dyDescent="0.45">
      <c r="A168" s="11">
        <v>155</v>
      </c>
      <c r="B168" s="11">
        <f t="shared" ca="1" si="26"/>
        <v>0.49892611569827949</v>
      </c>
      <c r="C168" s="11">
        <f t="shared" ca="1" si="27"/>
        <v>1300</v>
      </c>
      <c r="D168" s="11">
        <f t="shared" ca="1" si="28"/>
        <v>0.30521761054926255</v>
      </c>
      <c r="E168" s="11">
        <f t="shared" ca="1" si="29"/>
        <v>1200</v>
      </c>
      <c r="F168" s="11">
        <f t="shared" ca="1" si="30"/>
        <v>0.30833059396417151</v>
      </c>
      <c r="G168" s="11">
        <f t="shared" ca="1" si="31"/>
        <v>1200</v>
      </c>
      <c r="H168" s="11">
        <f t="shared" ca="1" si="32"/>
        <v>1200</v>
      </c>
      <c r="I168" s="11">
        <f t="shared" ca="1" si="33"/>
        <v>0.91234996440164962</v>
      </c>
      <c r="J168" s="11">
        <f t="shared" ca="1" si="34"/>
        <v>15</v>
      </c>
      <c r="K168" s="24">
        <v>96</v>
      </c>
      <c r="L168" s="24">
        <f t="shared" ca="1" si="35"/>
        <v>150</v>
      </c>
      <c r="M168" s="24">
        <v>400</v>
      </c>
      <c r="N168" s="24">
        <v>20</v>
      </c>
      <c r="O168" s="24">
        <f t="shared" ca="1" si="36"/>
        <v>666</v>
      </c>
      <c r="P168" s="24">
        <v>186</v>
      </c>
      <c r="Q168" s="11">
        <f t="shared" ca="1" si="37"/>
        <v>150</v>
      </c>
      <c r="R168" s="24">
        <v>200</v>
      </c>
      <c r="S168" s="24">
        <v>10</v>
      </c>
      <c r="T168" s="24">
        <f t="shared" ca="1" si="38"/>
        <v>546</v>
      </c>
    </row>
    <row r="169" spans="1:20" x14ac:dyDescent="0.45">
      <c r="A169" s="11">
        <v>156</v>
      </c>
      <c r="B169" s="11">
        <f t="shared" ca="1" si="26"/>
        <v>0.44201634217620933</v>
      </c>
      <c r="C169" s="11">
        <f t="shared" ca="1" si="27"/>
        <v>1200</v>
      </c>
      <c r="D169" s="11">
        <f t="shared" ca="1" si="28"/>
        <v>9.7128398687847284E-2</v>
      </c>
      <c r="E169" s="11">
        <f t="shared" ca="1" si="29"/>
        <v>1000</v>
      </c>
      <c r="F169" s="11">
        <f t="shared" ca="1" si="30"/>
        <v>0.55753127199467944</v>
      </c>
      <c r="G169" s="11">
        <f t="shared" ca="1" si="31"/>
        <v>1300</v>
      </c>
      <c r="H169" s="11">
        <f t="shared" ca="1" si="32"/>
        <v>1000</v>
      </c>
      <c r="I169" s="11">
        <f t="shared" ca="1" si="33"/>
        <v>0.22953057974007041</v>
      </c>
      <c r="J169" s="11">
        <f t="shared" ca="1" si="34"/>
        <v>5</v>
      </c>
      <c r="K169" s="24">
        <v>96</v>
      </c>
      <c r="L169" s="24">
        <f t="shared" ca="1" si="35"/>
        <v>50</v>
      </c>
      <c r="M169" s="24">
        <v>400</v>
      </c>
      <c r="N169" s="24">
        <v>20</v>
      </c>
      <c r="O169" s="24">
        <f t="shared" ca="1" si="36"/>
        <v>566</v>
      </c>
      <c r="P169" s="24">
        <v>187</v>
      </c>
      <c r="Q169" s="11">
        <f t="shared" ca="1" si="37"/>
        <v>50</v>
      </c>
      <c r="R169" s="24">
        <v>200</v>
      </c>
      <c r="S169" s="24">
        <v>10</v>
      </c>
      <c r="T169" s="24">
        <f t="shared" ca="1" si="38"/>
        <v>447</v>
      </c>
    </row>
    <row r="170" spans="1:20" x14ac:dyDescent="0.45">
      <c r="A170" s="11">
        <v>157</v>
      </c>
      <c r="B170" s="11">
        <f t="shared" ca="1" si="26"/>
        <v>0.4058064435811618</v>
      </c>
      <c r="C170" s="11">
        <f t="shared" ca="1" si="27"/>
        <v>1200</v>
      </c>
      <c r="D170" s="11">
        <f t="shared" ca="1" si="28"/>
        <v>0.99546971627690828</v>
      </c>
      <c r="E170" s="11">
        <f t="shared" ca="1" si="29"/>
        <v>1900</v>
      </c>
      <c r="F170" s="11">
        <f t="shared" ca="1" si="30"/>
        <v>0.40113320949365294</v>
      </c>
      <c r="G170" s="11">
        <f t="shared" ca="1" si="31"/>
        <v>1200</v>
      </c>
      <c r="H170" s="11">
        <f t="shared" ca="1" si="32"/>
        <v>1200</v>
      </c>
      <c r="I170" s="11">
        <f t="shared" ca="1" si="33"/>
        <v>0.90765605375327152</v>
      </c>
      <c r="J170" s="11">
        <f t="shared" ca="1" si="34"/>
        <v>15</v>
      </c>
      <c r="K170" s="24">
        <v>96</v>
      </c>
      <c r="L170" s="24">
        <f t="shared" ca="1" si="35"/>
        <v>150</v>
      </c>
      <c r="M170" s="24">
        <v>400</v>
      </c>
      <c r="N170" s="24">
        <v>20</v>
      </c>
      <c r="O170" s="24">
        <f t="shared" ca="1" si="36"/>
        <v>666</v>
      </c>
      <c r="P170" s="24">
        <v>188</v>
      </c>
      <c r="Q170" s="11">
        <f t="shared" ca="1" si="37"/>
        <v>150</v>
      </c>
      <c r="R170" s="24">
        <v>200</v>
      </c>
      <c r="S170" s="24">
        <v>10</v>
      </c>
      <c r="T170" s="24">
        <f t="shared" ca="1" si="38"/>
        <v>548</v>
      </c>
    </row>
    <row r="171" spans="1:20" x14ac:dyDescent="0.45">
      <c r="A171" s="11">
        <v>158</v>
      </c>
      <c r="B171" s="11">
        <f t="shared" ca="1" si="26"/>
        <v>0.78153902316363144</v>
      </c>
      <c r="C171" s="11">
        <f t="shared" ca="1" si="27"/>
        <v>1500</v>
      </c>
      <c r="D171" s="11">
        <f t="shared" ca="1" si="28"/>
        <v>0.87153404752511077</v>
      </c>
      <c r="E171" s="11">
        <f t="shared" ca="1" si="29"/>
        <v>1700</v>
      </c>
      <c r="F171" s="11">
        <f t="shared" ca="1" si="30"/>
        <v>0.82028499620806983</v>
      </c>
      <c r="G171" s="11">
        <f t="shared" ca="1" si="31"/>
        <v>1600</v>
      </c>
      <c r="H171" s="11">
        <f t="shared" ca="1" si="32"/>
        <v>1500</v>
      </c>
      <c r="I171" s="11">
        <f t="shared" ca="1" si="33"/>
        <v>0.92036242077605757</v>
      </c>
      <c r="J171" s="11">
        <f t="shared" ca="1" si="34"/>
        <v>15</v>
      </c>
      <c r="K171" s="24">
        <v>96</v>
      </c>
      <c r="L171" s="24">
        <f t="shared" ca="1" si="35"/>
        <v>150</v>
      </c>
      <c r="M171" s="24">
        <v>400</v>
      </c>
      <c r="N171" s="24">
        <v>20</v>
      </c>
      <c r="O171" s="24">
        <f t="shared" ca="1" si="36"/>
        <v>666</v>
      </c>
      <c r="P171" s="24">
        <v>189</v>
      </c>
      <c r="Q171" s="11">
        <f t="shared" ca="1" si="37"/>
        <v>150</v>
      </c>
      <c r="R171" s="24">
        <v>200</v>
      </c>
      <c r="S171" s="24">
        <v>10</v>
      </c>
      <c r="T171" s="24">
        <f t="shared" ca="1" si="38"/>
        <v>549</v>
      </c>
    </row>
    <row r="172" spans="1:20" x14ac:dyDescent="0.45">
      <c r="A172" s="11">
        <v>159</v>
      </c>
      <c r="B172" s="11">
        <f t="shared" ca="1" si="26"/>
        <v>0.66859581474511542</v>
      </c>
      <c r="C172" s="11">
        <f t="shared" ca="1" si="27"/>
        <v>1400</v>
      </c>
      <c r="D172" s="11">
        <f t="shared" ca="1" si="28"/>
        <v>7.504878543912219E-2</v>
      </c>
      <c r="E172" s="11">
        <f t="shared" ca="1" si="29"/>
        <v>1000</v>
      </c>
      <c r="F172" s="11">
        <f t="shared" ca="1" si="30"/>
        <v>0.16710500723692256</v>
      </c>
      <c r="G172" s="11">
        <f t="shared" ca="1" si="31"/>
        <v>1100</v>
      </c>
      <c r="H172" s="11">
        <f t="shared" ca="1" si="32"/>
        <v>1000</v>
      </c>
      <c r="I172" s="11">
        <f t="shared" ca="1" si="33"/>
        <v>0.86482213141005126</v>
      </c>
      <c r="J172" s="11">
        <f t="shared" ca="1" si="34"/>
        <v>10</v>
      </c>
      <c r="K172" s="24">
        <v>96</v>
      </c>
      <c r="L172" s="24">
        <f t="shared" ca="1" si="35"/>
        <v>100</v>
      </c>
      <c r="M172" s="24">
        <v>400</v>
      </c>
      <c r="N172" s="24">
        <v>20</v>
      </c>
      <c r="O172" s="24">
        <f t="shared" ca="1" si="36"/>
        <v>616</v>
      </c>
      <c r="P172" s="24">
        <v>190</v>
      </c>
      <c r="Q172" s="11">
        <f t="shared" ca="1" si="37"/>
        <v>100</v>
      </c>
      <c r="R172" s="24">
        <v>200</v>
      </c>
      <c r="S172" s="24">
        <v>10</v>
      </c>
      <c r="T172" s="24">
        <f t="shared" ca="1" si="38"/>
        <v>500</v>
      </c>
    </row>
    <row r="173" spans="1:20" x14ac:dyDescent="0.45">
      <c r="A173" s="11">
        <v>160</v>
      </c>
      <c r="B173" s="11">
        <f t="shared" ca="1" si="26"/>
        <v>6.8352479645905406E-2</v>
      </c>
      <c r="C173" s="11">
        <f t="shared" ca="1" si="27"/>
        <v>1000</v>
      </c>
      <c r="D173" s="11">
        <f t="shared" ca="1" si="28"/>
        <v>0.10524279994491959</v>
      </c>
      <c r="E173" s="11">
        <f t="shared" ca="1" si="29"/>
        <v>1100</v>
      </c>
      <c r="F173" s="11">
        <f t="shared" ca="1" si="30"/>
        <v>0.25854271502371307</v>
      </c>
      <c r="G173" s="11">
        <f t="shared" ca="1" si="31"/>
        <v>1200</v>
      </c>
      <c r="H173" s="11">
        <f t="shared" ca="1" si="32"/>
        <v>1000</v>
      </c>
      <c r="I173" s="11">
        <f t="shared" ca="1" si="33"/>
        <v>0.93159944276439366</v>
      </c>
      <c r="J173" s="11">
        <f t="shared" ca="1" si="34"/>
        <v>15</v>
      </c>
      <c r="K173" s="24">
        <v>96</v>
      </c>
      <c r="L173" s="24">
        <f t="shared" ca="1" si="35"/>
        <v>150</v>
      </c>
      <c r="M173" s="24">
        <v>400</v>
      </c>
      <c r="N173" s="24">
        <v>20</v>
      </c>
      <c r="O173" s="24">
        <f t="shared" ca="1" si="36"/>
        <v>666</v>
      </c>
      <c r="P173" s="24">
        <v>191</v>
      </c>
      <c r="Q173" s="11">
        <f t="shared" ca="1" si="37"/>
        <v>150</v>
      </c>
      <c r="R173" s="24">
        <v>200</v>
      </c>
      <c r="S173" s="24">
        <v>10</v>
      </c>
      <c r="T173" s="24">
        <f t="shared" ca="1" si="38"/>
        <v>551</v>
      </c>
    </row>
    <row r="174" spans="1:20" x14ac:dyDescent="0.45">
      <c r="A174" s="11">
        <v>161</v>
      </c>
      <c r="B174" s="11">
        <f t="shared" ca="1" si="26"/>
        <v>3.7449676994618208E-2</v>
      </c>
      <c r="C174" s="11">
        <f t="shared" ca="1" si="27"/>
        <v>1000</v>
      </c>
      <c r="D174" s="11">
        <f t="shared" ca="1" si="28"/>
        <v>0.77785282968958902</v>
      </c>
      <c r="E174" s="11">
        <f t="shared" ca="1" si="29"/>
        <v>1500</v>
      </c>
      <c r="F174" s="11">
        <f t="shared" ca="1" si="30"/>
        <v>0.64755891203873861</v>
      </c>
      <c r="G174" s="11">
        <f t="shared" ca="1" si="31"/>
        <v>1400</v>
      </c>
      <c r="H174" s="11">
        <f t="shared" ca="1" si="32"/>
        <v>1000</v>
      </c>
      <c r="I174" s="11">
        <f t="shared" ca="1" si="33"/>
        <v>0.95850065447141575</v>
      </c>
      <c r="J174" s="11">
        <f t="shared" ca="1" si="34"/>
        <v>15</v>
      </c>
      <c r="K174" s="24">
        <v>96</v>
      </c>
      <c r="L174" s="24">
        <f t="shared" ca="1" si="35"/>
        <v>150</v>
      </c>
      <c r="M174" s="24">
        <v>400</v>
      </c>
      <c r="N174" s="24">
        <v>20</v>
      </c>
      <c r="O174" s="24">
        <f t="shared" ca="1" si="36"/>
        <v>666</v>
      </c>
      <c r="P174" s="24">
        <v>192</v>
      </c>
      <c r="Q174" s="11">
        <f t="shared" ca="1" si="37"/>
        <v>150</v>
      </c>
      <c r="R174" s="24">
        <v>200</v>
      </c>
      <c r="S174" s="24">
        <v>10</v>
      </c>
      <c r="T174" s="24">
        <f t="shared" ca="1" si="38"/>
        <v>552</v>
      </c>
    </row>
    <row r="175" spans="1:20" x14ac:dyDescent="0.45">
      <c r="A175" s="11">
        <v>162</v>
      </c>
      <c r="B175" s="11">
        <f t="shared" ca="1" si="26"/>
        <v>0.42328553026223137</v>
      </c>
      <c r="C175" s="11">
        <f t="shared" ca="1" si="27"/>
        <v>1200</v>
      </c>
      <c r="D175" s="11">
        <f t="shared" ca="1" si="28"/>
        <v>0.65792909756918638</v>
      </c>
      <c r="E175" s="11">
        <f t="shared" ca="1" si="29"/>
        <v>1400</v>
      </c>
      <c r="F175" s="11">
        <f t="shared" ca="1" si="30"/>
        <v>0.82604871950442504</v>
      </c>
      <c r="G175" s="11">
        <f t="shared" ca="1" si="31"/>
        <v>1600</v>
      </c>
      <c r="H175" s="11">
        <f t="shared" ca="1" si="32"/>
        <v>1200</v>
      </c>
      <c r="I175" s="11">
        <f t="shared" ca="1" si="33"/>
        <v>0.48519812550734098</v>
      </c>
      <c r="J175" s="11">
        <f t="shared" ca="1" si="34"/>
        <v>5</v>
      </c>
      <c r="K175" s="24">
        <v>96</v>
      </c>
      <c r="L175" s="24">
        <f t="shared" ca="1" si="35"/>
        <v>50</v>
      </c>
      <c r="M175" s="24">
        <v>400</v>
      </c>
      <c r="N175" s="24">
        <v>20</v>
      </c>
      <c r="O175" s="24">
        <f t="shared" ca="1" si="36"/>
        <v>566</v>
      </c>
      <c r="P175" s="24">
        <v>193</v>
      </c>
      <c r="Q175" s="11">
        <f t="shared" ca="1" si="37"/>
        <v>50</v>
      </c>
      <c r="R175" s="24">
        <v>200</v>
      </c>
      <c r="S175" s="24">
        <v>10</v>
      </c>
      <c r="T175" s="24">
        <f t="shared" ca="1" si="38"/>
        <v>453</v>
      </c>
    </row>
    <row r="176" spans="1:20" x14ac:dyDescent="0.45">
      <c r="A176" s="11">
        <v>163</v>
      </c>
      <c r="B176" s="11">
        <f t="shared" ca="1" si="26"/>
        <v>0.8043188862503563</v>
      </c>
      <c r="C176" s="11">
        <f t="shared" ca="1" si="27"/>
        <v>1500</v>
      </c>
      <c r="D176" s="11">
        <f t="shared" ca="1" si="28"/>
        <v>7.6542983732602932E-2</v>
      </c>
      <c r="E176" s="11">
        <f t="shared" ca="1" si="29"/>
        <v>1000</v>
      </c>
      <c r="F176" s="11">
        <f t="shared" ca="1" si="30"/>
        <v>0.58158388973882114</v>
      </c>
      <c r="G176" s="11">
        <f t="shared" ca="1" si="31"/>
        <v>1300</v>
      </c>
      <c r="H176" s="11">
        <f t="shared" ca="1" si="32"/>
        <v>1000</v>
      </c>
      <c r="I176" s="11">
        <f t="shared" ca="1" si="33"/>
        <v>0.1587856866803623</v>
      </c>
      <c r="J176" s="11">
        <f t="shared" ca="1" si="34"/>
        <v>5</v>
      </c>
      <c r="K176" s="24">
        <v>96</v>
      </c>
      <c r="L176" s="24">
        <f t="shared" ca="1" si="35"/>
        <v>50</v>
      </c>
      <c r="M176" s="24">
        <v>400</v>
      </c>
      <c r="N176" s="24">
        <v>20</v>
      </c>
      <c r="O176" s="24">
        <f t="shared" ca="1" si="36"/>
        <v>566</v>
      </c>
      <c r="P176" s="24">
        <v>194</v>
      </c>
      <c r="Q176" s="11">
        <f t="shared" ca="1" si="37"/>
        <v>50</v>
      </c>
      <c r="R176" s="24">
        <v>200</v>
      </c>
      <c r="S176" s="24">
        <v>10</v>
      </c>
      <c r="T176" s="24">
        <f t="shared" ca="1" si="38"/>
        <v>454</v>
      </c>
    </row>
    <row r="177" spans="1:20" x14ac:dyDescent="0.45">
      <c r="A177" s="11">
        <v>164</v>
      </c>
      <c r="B177" s="11">
        <f t="shared" ca="1" si="26"/>
        <v>0.40951044260720015</v>
      </c>
      <c r="C177" s="11">
        <f t="shared" ca="1" si="27"/>
        <v>1200</v>
      </c>
      <c r="D177" s="11">
        <f t="shared" ca="1" si="28"/>
        <v>0.75368239620410438</v>
      </c>
      <c r="E177" s="11">
        <f t="shared" ca="1" si="29"/>
        <v>1500</v>
      </c>
      <c r="F177" s="11">
        <f t="shared" ca="1" si="30"/>
        <v>0.32788030499472964</v>
      </c>
      <c r="G177" s="11">
        <f t="shared" ca="1" si="31"/>
        <v>1200</v>
      </c>
      <c r="H177" s="11">
        <f t="shared" ca="1" si="32"/>
        <v>1200</v>
      </c>
      <c r="I177" s="11">
        <f t="shared" ca="1" si="33"/>
        <v>0.9874143577695238</v>
      </c>
      <c r="J177" s="11">
        <f t="shared" ca="1" si="34"/>
        <v>15</v>
      </c>
      <c r="K177" s="24">
        <v>96</v>
      </c>
      <c r="L177" s="24">
        <f t="shared" ca="1" si="35"/>
        <v>150</v>
      </c>
      <c r="M177" s="24">
        <v>400</v>
      </c>
      <c r="N177" s="24">
        <v>20</v>
      </c>
      <c r="O177" s="24">
        <f t="shared" ca="1" si="36"/>
        <v>666</v>
      </c>
      <c r="P177" s="24">
        <v>195</v>
      </c>
      <c r="Q177" s="11">
        <f t="shared" ca="1" si="37"/>
        <v>150</v>
      </c>
      <c r="R177" s="24">
        <v>200</v>
      </c>
      <c r="S177" s="24">
        <v>10</v>
      </c>
      <c r="T177" s="24">
        <f t="shared" ca="1" si="38"/>
        <v>555</v>
      </c>
    </row>
    <row r="178" spans="1:20" x14ac:dyDescent="0.45">
      <c r="A178" s="11">
        <v>165</v>
      </c>
      <c r="B178" s="11">
        <f t="shared" ca="1" si="26"/>
        <v>0.45297411568617263</v>
      </c>
      <c r="C178" s="11">
        <f t="shared" ca="1" si="27"/>
        <v>1200</v>
      </c>
      <c r="D178" s="11">
        <f t="shared" ca="1" si="28"/>
        <v>0.66563729386362147</v>
      </c>
      <c r="E178" s="11">
        <f t="shared" ca="1" si="29"/>
        <v>1400</v>
      </c>
      <c r="F178" s="11">
        <f t="shared" ca="1" si="30"/>
        <v>7.667779407959241E-2</v>
      </c>
      <c r="G178" s="11">
        <f t="shared" ca="1" si="31"/>
        <v>1000</v>
      </c>
      <c r="H178" s="11">
        <f t="shared" ca="1" si="32"/>
        <v>1000</v>
      </c>
      <c r="I178" s="11">
        <f t="shared" ca="1" si="33"/>
        <v>0.32204957892816488</v>
      </c>
      <c r="J178" s="11">
        <f t="shared" ca="1" si="34"/>
        <v>5</v>
      </c>
      <c r="K178" s="24">
        <v>96</v>
      </c>
      <c r="L178" s="24">
        <f t="shared" ca="1" si="35"/>
        <v>50</v>
      </c>
      <c r="M178" s="24">
        <v>400</v>
      </c>
      <c r="N178" s="24">
        <v>20</v>
      </c>
      <c r="O178" s="24">
        <f t="shared" ca="1" si="36"/>
        <v>566</v>
      </c>
      <c r="P178" s="24">
        <v>196</v>
      </c>
      <c r="Q178" s="11">
        <f t="shared" ca="1" si="37"/>
        <v>50</v>
      </c>
      <c r="R178" s="24">
        <v>200</v>
      </c>
      <c r="S178" s="24">
        <v>10</v>
      </c>
      <c r="T178" s="24">
        <f t="shared" ca="1" si="38"/>
        <v>456</v>
      </c>
    </row>
    <row r="179" spans="1:20" x14ac:dyDescent="0.45">
      <c r="A179" s="11">
        <v>166</v>
      </c>
      <c r="B179" s="11">
        <f t="shared" ca="1" si="26"/>
        <v>8.7697439489012208E-2</v>
      </c>
      <c r="C179" s="11">
        <f t="shared" ca="1" si="27"/>
        <v>1000</v>
      </c>
      <c r="D179" s="11">
        <f t="shared" ca="1" si="28"/>
        <v>0.39386499505453654</v>
      </c>
      <c r="E179" s="11">
        <f t="shared" ca="1" si="29"/>
        <v>1200</v>
      </c>
      <c r="F179" s="11">
        <f t="shared" ca="1" si="30"/>
        <v>0.43063718104190929</v>
      </c>
      <c r="G179" s="11">
        <f t="shared" ca="1" si="31"/>
        <v>1200</v>
      </c>
      <c r="H179" s="11">
        <f t="shared" ca="1" si="32"/>
        <v>1000</v>
      </c>
      <c r="I179" s="11">
        <f t="shared" ca="1" si="33"/>
        <v>0.83041638167640475</v>
      </c>
      <c r="J179" s="11">
        <f t="shared" ca="1" si="34"/>
        <v>10</v>
      </c>
      <c r="K179" s="24">
        <v>96</v>
      </c>
      <c r="L179" s="24">
        <f t="shared" ca="1" si="35"/>
        <v>100</v>
      </c>
      <c r="M179" s="24">
        <v>400</v>
      </c>
      <c r="N179" s="24">
        <v>20</v>
      </c>
      <c r="O179" s="24">
        <f t="shared" ca="1" si="36"/>
        <v>616</v>
      </c>
      <c r="P179" s="24">
        <v>197</v>
      </c>
      <c r="Q179" s="11">
        <f t="shared" ca="1" si="37"/>
        <v>100</v>
      </c>
      <c r="R179" s="24">
        <v>200</v>
      </c>
      <c r="S179" s="24">
        <v>10</v>
      </c>
      <c r="T179" s="24">
        <f t="shared" ca="1" si="38"/>
        <v>507</v>
      </c>
    </row>
    <row r="180" spans="1:20" x14ac:dyDescent="0.45">
      <c r="A180" s="11">
        <v>167</v>
      </c>
      <c r="B180" s="11">
        <f t="shared" ca="1" si="26"/>
        <v>0.66019053197318778</v>
      </c>
      <c r="C180" s="11">
        <f t="shared" ca="1" si="27"/>
        <v>1400</v>
      </c>
      <c r="D180" s="11">
        <f t="shared" ca="1" si="28"/>
        <v>0.92829561214500511</v>
      </c>
      <c r="E180" s="11">
        <f t="shared" ca="1" si="29"/>
        <v>1800</v>
      </c>
      <c r="F180" s="11">
        <f t="shared" ca="1" si="30"/>
        <v>0.26521973922591935</v>
      </c>
      <c r="G180" s="11">
        <f t="shared" ca="1" si="31"/>
        <v>1200</v>
      </c>
      <c r="H180" s="11">
        <f t="shared" ca="1" si="32"/>
        <v>1200</v>
      </c>
      <c r="I180" s="11">
        <f t="shared" ca="1" si="33"/>
        <v>0.90777931870005169</v>
      </c>
      <c r="J180" s="11">
        <f t="shared" ca="1" si="34"/>
        <v>15</v>
      </c>
      <c r="K180" s="24">
        <v>96</v>
      </c>
      <c r="L180" s="24">
        <f t="shared" ca="1" si="35"/>
        <v>150</v>
      </c>
      <c r="M180" s="24">
        <v>400</v>
      </c>
      <c r="N180" s="24">
        <v>20</v>
      </c>
      <c r="O180" s="24">
        <f t="shared" ca="1" si="36"/>
        <v>666</v>
      </c>
      <c r="P180" s="24">
        <v>198</v>
      </c>
      <c r="Q180" s="11">
        <f t="shared" ca="1" si="37"/>
        <v>150</v>
      </c>
      <c r="R180" s="24">
        <v>200</v>
      </c>
      <c r="S180" s="24">
        <v>10</v>
      </c>
      <c r="T180" s="24">
        <f t="shared" ca="1" si="38"/>
        <v>558</v>
      </c>
    </row>
    <row r="181" spans="1:20" x14ac:dyDescent="0.45">
      <c r="A181" s="11">
        <v>168</v>
      </c>
      <c r="B181" s="11">
        <f t="shared" ca="1" si="26"/>
        <v>0.79957455901562702</v>
      </c>
      <c r="C181" s="11">
        <f t="shared" ca="1" si="27"/>
        <v>1500</v>
      </c>
      <c r="D181" s="11">
        <f t="shared" ca="1" si="28"/>
        <v>0.2950371384510625</v>
      </c>
      <c r="E181" s="11">
        <f t="shared" ca="1" si="29"/>
        <v>1200</v>
      </c>
      <c r="F181" s="11">
        <f t="shared" ca="1" si="30"/>
        <v>0.34444834326688722</v>
      </c>
      <c r="G181" s="11">
        <f t="shared" ca="1" si="31"/>
        <v>1200</v>
      </c>
      <c r="H181" s="11">
        <f t="shared" ca="1" si="32"/>
        <v>1200</v>
      </c>
      <c r="I181" s="11">
        <f t="shared" ca="1" si="33"/>
        <v>0.19227721075345383</v>
      </c>
      <c r="J181" s="11">
        <f t="shared" ca="1" si="34"/>
        <v>5</v>
      </c>
      <c r="K181" s="24">
        <v>96</v>
      </c>
      <c r="L181" s="24">
        <f t="shared" ca="1" si="35"/>
        <v>50</v>
      </c>
      <c r="M181" s="24">
        <v>400</v>
      </c>
      <c r="N181" s="24">
        <v>20</v>
      </c>
      <c r="O181" s="24">
        <f t="shared" ca="1" si="36"/>
        <v>566</v>
      </c>
      <c r="P181" s="24">
        <v>199</v>
      </c>
      <c r="Q181" s="11">
        <f t="shared" ca="1" si="37"/>
        <v>50</v>
      </c>
      <c r="R181" s="24">
        <v>200</v>
      </c>
      <c r="S181" s="24">
        <v>10</v>
      </c>
      <c r="T181" s="24">
        <f t="shared" ca="1" si="38"/>
        <v>459</v>
      </c>
    </row>
    <row r="182" spans="1:20" x14ac:dyDescent="0.45">
      <c r="A182" s="11">
        <v>169</v>
      </c>
      <c r="B182" s="11">
        <f t="shared" ca="1" si="26"/>
        <v>0.64083623028288106</v>
      </c>
      <c r="C182" s="11">
        <f t="shared" ca="1" si="27"/>
        <v>1400</v>
      </c>
      <c r="D182" s="11">
        <f t="shared" ca="1" si="28"/>
        <v>0.79194493070175165</v>
      </c>
      <c r="E182" s="11">
        <f t="shared" ca="1" si="29"/>
        <v>1500</v>
      </c>
      <c r="F182" s="11">
        <f t="shared" ca="1" si="30"/>
        <v>0.31126183124415874</v>
      </c>
      <c r="G182" s="11">
        <f t="shared" ca="1" si="31"/>
        <v>1200</v>
      </c>
      <c r="H182" s="11">
        <f t="shared" ca="1" si="32"/>
        <v>1200</v>
      </c>
      <c r="I182" s="11">
        <f t="shared" ca="1" si="33"/>
        <v>0.96292048103461436</v>
      </c>
      <c r="J182" s="11">
        <f t="shared" ca="1" si="34"/>
        <v>15</v>
      </c>
      <c r="K182" s="24">
        <v>96</v>
      </c>
      <c r="L182" s="24">
        <f t="shared" ca="1" si="35"/>
        <v>150</v>
      </c>
      <c r="M182" s="24">
        <v>400</v>
      </c>
      <c r="N182" s="24">
        <v>20</v>
      </c>
      <c r="O182" s="24">
        <f t="shared" ca="1" si="36"/>
        <v>666</v>
      </c>
      <c r="P182" s="24">
        <v>200</v>
      </c>
      <c r="Q182" s="11">
        <f t="shared" ca="1" si="37"/>
        <v>150</v>
      </c>
      <c r="R182" s="24">
        <v>200</v>
      </c>
      <c r="S182" s="24">
        <v>10</v>
      </c>
      <c r="T182" s="24">
        <f t="shared" ca="1" si="38"/>
        <v>560</v>
      </c>
    </row>
    <row r="183" spans="1:20" x14ac:dyDescent="0.45">
      <c r="A183" s="11">
        <v>170</v>
      </c>
      <c r="B183" s="11">
        <f t="shared" ca="1" si="26"/>
        <v>9.6890177977654868E-2</v>
      </c>
      <c r="C183" s="11">
        <f t="shared" ca="1" si="27"/>
        <v>1000</v>
      </c>
      <c r="D183" s="11">
        <f t="shared" ca="1" si="28"/>
        <v>0.54511367250357612</v>
      </c>
      <c r="E183" s="11">
        <f t="shared" ca="1" si="29"/>
        <v>1300</v>
      </c>
      <c r="F183" s="11">
        <f t="shared" ca="1" si="30"/>
        <v>0.75787067477093228</v>
      </c>
      <c r="G183" s="11">
        <f t="shared" ca="1" si="31"/>
        <v>1500</v>
      </c>
      <c r="H183" s="11">
        <f t="shared" ca="1" si="32"/>
        <v>1000</v>
      </c>
      <c r="I183" s="11">
        <f t="shared" ca="1" si="33"/>
        <v>0.56354926221637602</v>
      </c>
      <c r="J183" s="11">
        <f t="shared" ca="1" si="34"/>
        <v>5</v>
      </c>
      <c r="K183" s="24">
        <v>96</v>
      </c>
      <c r="L183" s="24">
        <f t="shared" ca="1" si="35"/>
        <v>50</v>
      </c>
      <c r="M183" s="24">
        <v>400</v>
      </c>
      <c r="N183" s="24">
        <v>20</v>
      </c>
      <c r="O183" s="24">
        <f t="shared" ca="1" si="36"/>
        <v>566</v>
      </c>
      <c r="P183" s="24">
        <v>201</v>
      </c>
      <c r="Q183" s="11">
        <f t="shared" ca="1" si="37"/>
        <v>50</v>
      </c>
      <c r="R183" s="24">
        <v>200</v>
      </c>
      <c r="S183" s="24">
        <v>10</v>
      </c>
      <c r="T183" s="24">
        <f t="shared" ca="1" si="38"/>
        <v>461</v>
      </c>
    </row>
    <row r="184" spans="1:20" x14ac:dyDescent="0.45">
      <c r="A184" s="11">
        <v>171</v>
      </c>
      <c r="B184" s="11">
        <f t="shared" ca="1" si="26"/>
        <v>0.85749708442216355</v>
      </c>
      <c r="C184" s="11">
        <f t="shared" ca="1" si="27"/>
        <v>1700</v>
      </c>
      <c r="D184" s="11">
        <f t="shared" ca="1" si="28"/>
        <v>9.2005397405516054E-2</v>
      </c>
      <c r="E184" s="11">
        <f t="shared" ca="1" si="29"/>
        <v>1000</v>
      </c>
      <c r="F184" s="11">
        <f t="shared" ca="1" si="30"/>
        <v>8.0593153143295071E-2</v>
      </c>
      <c r="G184" s="11">
        <f t="shared" ca="1" si="31"/>
        <v>1000</v>
      </c>
      <c r="H184" s="11">
        <f t="shared" ca="1" si="32"/>
        <v>1000</v>
      </c>
      <c r="I184" s="11">
        <f t="shared" ca="1" si="33"/>
        <v>0.74097066206448203</v>
      </c>
      <c r="J184" s="11">
        <f t="shared" ca="1" si="34"/>
        <v>10</v>
      </c>
      <c r="K184" s="24">
        <v>96</v>
      </c>
      <c r="L184" s="24">
        <f t="shared" ca="1" si="35"/>
        <v>100</v>
      </c>
      <c r="M184" s="24">
        <v>400</v>
      </c>
      <c r="N184" s="24">
        <v>20</v>
      </c>
      <c r="O184" s="24">
        <f t="shared" ca="1" si="36"/>
        <v>616</v>
      </c>
      <c r="P184" s="24">
        <v>202</v>
      </c>
      <c r="Q184" s="11">
        <f t="shared" ca="1" si="37"/>
        <v>100</v>
      </c>
      <c r="R184" s="24">
        <v>200</v>
      </c>
      <c r="S184" s="24">
        <v>10</v>
      </c>
      <c r="T184" s="24">
        <f t="shared" ca="1" si="38"/>
        <v>512</v>
      </c>
    </row>
    <row r="185" spans="1:20" x14ac:dyDescent="0.45">
      <c r="A185" s="11">
        <v>172</v>
      </c>
      <c r="B185" s="11">
        <f t="shared" ca="1" si="26"/>
        <v>0.22649869217181595</v>
      </c>
      <c r="C185" s="11">
        <f t="shared" ca="1" si="27"/>
        <v>1100</v>
      </c>
      <c r="D185" s="11">
        <f t="shared" ca="1" si="28"/>
        <v>0.89116136448680916</v>
      </c>
      <c r="E185" s="11">
        <f t="shared" ca="1" si="29"/>
        <v>1700</v>
      </c>
      <c r="F185" s="11">
        <f t="shared" ca="1" si="30"/>
        <v>0.65037652067374363</v>
      </c>
      <c r="G185" s="11">
        <f t="shared" ca="1" si="31"/>
        <v>1400</v>
      </c>
      <c r="H185" s="11">
        <f t="shared" ca="1" si="32"/>
        <v>1100</v>
      </c>
      <c r="I185" s="11">
        <f t="shared" ca="1" si="33"/>
        <v>0.94148372259461677</v>
      </c>
      <c r="J185" s="11">
        <f t="shared" ca="1" si="34"/>
        <v>15</v>
      </c>
      <c r="K185" s="24">
        <v>96</v>
      </c>
      <c r="L185" s="24">
        <f t="shared" ca="1" si="35"/>
        <v>150</v>
      </c>
      <c r="M185" s="24">
        <v>400</v>
      </c>
      <c r="N185" s="24">
        <v>20</v>
      </c>
      <c r="O185" s="24">
        <f t="shared" ca="1" si="36"/>
        <v>666</v>
      </c>
      <c r="P185" s="24">
        <v>203</v>
      </c>
      <c r="Q185" s="11">
        <f t="shared" ca="1" si="37"/>
        <v>150</v>
      </c>
      <c r="R185" s="24">
        <v>200</v>
      </c>
      <c r="S185" s="24">
        <v>10</v>
      </c>
      <c r="T185" s="24">
        <f t="shared" ca="1" si="38"/>
        <v>563</v>
      </c>
    </row>
    <row r="186" spans="1:20" x14ac:dyDescent="0.45">
      <c r="A186" s="11">
        <v>173</v>
      </c>
      <c r="B186" s="11">
        <f t="shared" ca="1" si="26"/>
        <v>0.20134121243102687</v>
      </c>
      <c r="C186" s="11">
        <f t="shared" ca="1" si="27"/>
        <v>1100</v>
      </c>
      <c r="D186" s="11">
        <f t="shared" ca="1" si="28"/>
        <v>0.66736775625801004</v>
      </c>
      <c r="E186" s="11">
        <f t="shared" ca="1" si="29"/>
        <v>1400</v>
      </c>
      <c r="F186" s="11">
        <f t="shared" ca="1" si="30"/>
        <v>0.85268555088509856</v>
      </c>
      <c r="G186" s="11">
        <f t="shared" ca="1" si="31"/>
        <v>1700</v>
      </c>
      <c r="H186" s="11">
        <f t="shared" ca="1" si="32"/>
        <v>1100</v>
      </c>
      <c r="I186" s="11">
        <f t="shared" ca="1" si="33"/>
        <v>0.63088299450525398</v>
      </c>
      <c r="J186" s="11">
        <f t="shared" ca="1" si="34"/>
        <v>10</v>
      </c>
      <c r="K186" s="24">
        <v>96</v>
      </c>
      <c r="L186" s="24">
        <f t="shared" ca="1" si="35"/>
        <v>100</v>
      </c>
      <c r="M186" s="24">
        <v>400</v>
      </c>
      <c r="N186" s="24">
        <v>20</v>
      </c>
      <c r="O186" s="24">
        <f t="shared" ca="1" si="36"/>
        <v>616</v>
      </c>
      <c r="P186" s="24">
        <v>204</v>
      </c>
      <c r="Q186" s="11">
        <f t="shared" ca="1" si="37"/>
        <v>100</v>
      </c>
      <c r="R186" s="24">
        <v>200</v>
      </c>
      <c r="S186" s="24">
        <v>10</v>
      </c>
      <c r="T186" s="24">
        <f t="shared" ca="1" si="38"/>
        <v>514</v>
      </c>
    </row>
    <row r="187" spans="1:20" x14ac:dyDescent="0.45">
      <c r="A187" s="11">
        <v>174</v>
      </c>
      <c r="B187" s="11">
        <f t="shared" ca="1" si="26"/>
        <v>0.69445213376186643</v>
      </c>
      <c r="C187" s="11">
        <f t="shared" ca="1" si="27"/>
        <v>1400</v>
      </c>
      <c r="D187" s="11">
        <f t="shared" ca="1" si="28"/>
        <v>0.92222214441446138</v>
      </c>
      <c r="E187" s="11">
        <f t="shared" ca="1" si="29"/>
        <v>1800</v>
      </c>
      <c r="F187" s="11">
        <f t="shared" ca="1" si="30"/>
        <v>1.6083101967393043E-2</v>
      </c>
      <c r="G187" s="11">
        <f t="shared" ca="1" si="31"/>
        <v>1000</v>
      </c>
      <c r="H187" s="11">
        <f t="shared" ca="1" si="32"/>
        <v>1000</v>
      </c>
      <c r="I187" s="11">
        <f t="shared" ca="1" si="33"/>
        <v>0.82895316026928967</v>
      </c>
      <c r="J187" s="11">
        <f t="shared" ca="1" si="34"/>
        <v>10</v>
      </c>
      <c r="K187" s="24">
        <v>96</v>
      </c>
      <c r="L187" s="24">
        <f t="shared" ca="1" si="35"/>
        <v>100</v>
      </c>
      <c r="M187" s="24">
        <v>400</v>
      </c>
      <c r="N187" s="24">
        <v>20</v>
      </c>
      <c r="O187" s="24">
        <f t="shared" ca="1" si="36"/>
        <v>616</v>
      </c>
      <c r="P187" s="24">
        <v>205</v>
      </c>
      <c r="Q187" s="11">
        <f t="shared" ca="1" si="37"/>
        <v>100</v>
      </c>
      <c r="R187" s="24">
        <v>200</v>
      </c>
      <c r="S187" s="24">
        <v>10</v>
      </c>
      <c r="T187" s="24">
        <f t="shared" ca="1" si="38"/>
        <v>515</v>
      </c>
    </row>
    <row r="188" spans="1:20" x14ac:dyDescent="0.45">
      <c r="A188" s="11">
        <v>175</v>
      </c>
      <c r="B188" s="11">
        <f t="shared" ca="1" si="26"/>
        <v>0.45747604018043964</v>
      </c>
      <c r="C188" s="11">
        <f t="shared" ca="1" si="27"/>
        <v>1200</v>
      </c>
      <c r="D188" s="11">
        <f t="shared" ca="1" si="28"/>
        <v>0.73245589147904711</v>
      </c>
      <c r="E188" s="11">
        <f t="shared" ca="1" si="29"/>
        <v>1500</v>
      </c>
      <c r="F188" s="11">
        <f t="shared" ca="1" si="30"/>
        <v>0.39128349758686776</v>
      </c>
      <c r="G188" s="11">
        <f t="shared" ca="1" si="31"/>
        <v>1200</v>
      </c>
      <c r="H188" s="11">
        <f t="shared" ca="1" si="32"/>
        <v>1200</v>
      </c>
      <c r="I188" s="11">
        <f t="shared" ca="1" si="33"/>
        <v>0.77718219243836828</v>
      </c>
      <c r="J188" s="11">
        <f t="shared" ca="1" si="34"/>
        <v>10</v>
      </c>
      <c r="K188" s="24">
        <v>96</v>
      </c>
      <c r="L188" s="24">
        <f t="shared" ca="1" si="35"/>
        <v>100</v>
      </c>
      <c r="M188" s="24">
        <v>400</v>
      </c>
      <c r="N188" s="24">
        <v>20</v>
      </c>
      <c r="O188" s="24">
        <f t="shared" ca="1" si="36"/>
        <v>616</v>
      </c>
      <c r="P188" s="24">
        <v>206</v>
      </c>
      <c r="Q188" s="11">
        <f t="shared" ca="1" si="37"/>
        <v>100</v>
      </c>
      <c r="R188" s="24">
        <v>200</v>
      </c>
      <c r="S188" s="24">
        <v>10</v>
      </c>
      <c r="T188" s="24">
        <f t="shared" ca="1" si="38"/>
        <v>516</v>
      </c>
    </row>
    <row r="189" spans="1:20" x14ac:dyDescent="0.45">
      <c r="A189" s="11">
        <v>176</v>
      </c>
      <c r="B189" s="11">
        <f t="shared" ca="1" si="26"/>
        <v>0.79725406871775206</v>
      </c>
      <c r="C189" s="11">
        <f t="shared" ca="1" si="27"/>
        <v>1500</v>
      </c>
      <c r="D189" s="11">
        <f t="shared" ca="1" si="28"/>
        <v>0.35913958335930796</v>
      </c>
      <c r="E189" s="11">
        <f t="shared" ca="1" si="29"/>
        <v>1200</v>
      </c>
      <c r="F189" s="11">
        <f t="shared" ca="1" si="30"/>
        <v>0.51733424986212151</v>
      </c>
      <c r="G189" s="11">
        <f t="shared" ca="1" si="31"/>
        <v>1300</v>
      </c>
      <c r="H189" s="11">
        <f t="shared" ca="1" si="32"/>
        <v>1200</v>
      </c>
      <c r="I189" s="11">
        <f t="shared" ca="1" si="33"/>
        <v>0.30795452822792013</v>
      </c>
      <c r="J189" s="11">
        <f t="shared" ca="1" si="34"/>
        <v>5</v>
      </c>
      <c r="K189" s="24">
        <v>96</v>
      </c>
      <c r="L189" s="24">
        <f t="shared" ca="1" si="35"/>
        <v>50</v>
      </c>
      <c r="M189" s="24">
        <v>400</v>
      </c>
      <c r="N189" s="24">
        <v>20</v>
      </c>
      <c r="O189" s="24">
        <f t="shared" ca="1" si="36"/>
        <v>566</v>
      </c>
      <c r="P189" s="24">
        <v>207</v>
      </c>
      <c r="Q189" s="11">
        <f t="shared" ca="1" si="37"/>
        <v>50</v>
      </c>
      <c r="R189" s="24">
        <v>200</v>
      </c>
      <c r="S189" s="24">
        <v>10</v>
      </c>
      <c r="T189" s="24">
        <f t="shared" ca="1" si="38"/>
        <v>467</v>
      </c>
    </row>
    <row r="190" spans="1:20" x14ac:dyDescent="0.45">
      <c r="A190" s="11">
        <v>177</v>
      </c>
      <c r="B190" s="11">
        <f t="shared" ca="1" si="26"/>
        <v>0.93293381843454881</v>
      </c>
      <c r="C190" s="11">
        <f t="shared" ca="1" si="27"/>
        <v>1800</v>
      </c>
      <c r="D190" s="11">
        <f t="shared" ca="1" si="28"/>
        <v>3.9077516801080958E-2</v>
      </c>
      <c r="E190" s="11">
        <f t="shared" ca="1" si="29"/>
        <v>1000</v>
      </c>
      <c r="F190" s="11">
        <f t="shared" ca="1" si="30"/>
        <v>0.24953476033376853</v>
      </c>
      <c r="G190" s="11">
        <f t="shared" ca="1" si="31"/>
        <v>1200</v>
      </c>
      <c r="H190" s="11">
        <f t="shared" ca="1" si="32"/>
        <v>1000</v>
      </c>
      <c r="I190" s="11">
        <f t="shared" ca="1" si="33"/>
        <v>0.49583876378249303</v>
      </c>
      <c r="J190" s="11">
        <f t="shared" ca="1" si="34"/>
        <v>5</v>
      </c>
      <c r="K190" s="24">
        <v>96</v>
      </c>
      <c r="L190" s="24">
        <f t="shared" ca="1" si="35"/>
        <v>50</v>
      </c>
      <c r="M190" s="24">
        <v>400</v>
      </c>
      <c r="N190" s="24">
        <v>20</v>
      </c>
      <c r="O190" s="24">
        <f t="shared" ca="1" si="36"/>
        <v>566</v>
      </c>
      <c r="P190" s="24">
        <v>208</v>
      </c>
      <c r="Q190" s="11">
        <f t="shared" ca="1" si="37"/>
        <v>50</v>
      </c>
      <c r="R190" s="24">
        <v>200</v>
      </c>
      <c r="S190" s="24">
        <v>10</v>
      </c>
      <c r="T190" s="24">
        <f t="shared" ca="1" si="38"/>
        <v>468</v>
      </c>
    </row>
    <row r="191" spans="1:20" x14ac:dyDescent="0.45">
      <c r="A191" s="11">
        <v>178</v>
      </c>
      <c r="B191" s="11">
        <f t="shared" ca="1" si="26"/>
        <v>0.93199053059178771</v>
      </c>
      <c r="C191" s="11">
        <f t="shared" ca="1" si="27"/>
        <v>1800</v>
      </c>
      <c r="D191" s="11">
        <f t="shared" ca="1" si="28"/>
        <v>0.60898490693252783</v>
      </c>
      <c r="E191" s="11">
        <f t="shared" ca="1" si="29"/>
        <v>1300</v>
      </c>
      <c r="F191" s="11">
        <f t="shared" ca="1" si="30"/>
        <v>2.6765237208782322E-3</v>
      </c>
      <c r="G191" s="11">
        <f t="shared" ca="1" si="31"/>
        <v>1000</v>
      </c>
      <c r="H191" s="11">
        <f t="shared" ca="1" si="32"/>
        <v>1000</v>
      </c>
      <c r="I191" s="11">
        <f t="shared" ca="1" si="33"/>
        <v>0.66435521720430701</v>
      </c>
      <c r="J191" s="11">
        <f t="shared" ca="1" si="34"/>
        <v>10</v>
      </c>
      <c r="K191" s="24">
        <v>96</v>
      </c>
      <c r="L191" s="24">
        <f t="shared" ca="1" si="35"/>
        <v>100</v>
      </c>
      <c r="M191" s="24">
        <v>400</v>
      </c>
      <c r="N191" s="24">
        <v>20</v>
      </c>
      <c r="O191" s="24">
        <f t="shared" ca="1" si="36"/>
        <v>616</v>
      </c>
      <c r="P191" s="24">
        <v>209</v>
      </c>
      <c r="Q191" s="11">
        <f t="shared" ca="1" si="37"/>
        <v>100</v>
      </c>
      <c r="R191" s="24">
        <v>200</v>
      </c>
      <c r="S191" s="24">
        <v>10</v>
      </c>
      <c r="T191" s="24">
        <f t="shared" ca="1" si="38"/>
        <v>519</v>
      </c>
    </row>
    <row r="192" spans="1:20" x14ac:dyDescent="0.45">
      <c r="A192" s="11">
        <v>179</v>
      </c>
      <c r="B192" s="11">
        <f t="shared" ca="1" si="26"/>
        <v>0.72993256308240206</v>
      </c>
      <c r="C192" s="11">
        <f t="shared" ca="1" si="27"/>
        <v>1500</v>
      </c>
      <c r="D192" s="11">
        <f t="shared" ca="1" si="28"/>
        <v>0.10606772238569373</v>
      </c>
      <c r="E192" s="11">
        <f t="shared" ca="1" si="29"/>
        <v>1100</v>
      </c>
      <c r="F192" s="11">
        <f t="shared" ca="1" si="30"/>
        <v>0.20558078845162042</v>
      </c>
      <c r="G192" s="11">
        <f t="shared" ca="1" si="31"/>
        <v>1100</v>
      </c>
      <c r="H192" s="11">
        <f t="shared" ca="1" si="32"/>
        <v>1100</v>
      </c>
      <c r="I192" s="11">
        <f t="shared" ca="1" si="33"/>
        <v>0.42616991963653228</v>
      </c>
      <c r="J192" s="11">
        <f t="shared" ca="1" si="34"/>
        <v>5</v>
      </c>
      <c r="K192" s="24">
        <v>96</v>
      </c>
      <c r="L192" s="24">
        <f t="shared" ca="1" si="35"/>
        <v>50</v>
      </c>
      <c r="M192" s="24">
        <v>400</v>
      </c>
      <c r="N192" s="24">
        <v>20</v>
      </c>
      <c r="O192" s="24">
        <f t="shared" ca="1" si="36"/>
        <v>566</v>
      </c>
      <c r="P192" s="24">
        <v>210</v>
      </c>
      <c r="Q192" s="11">
        <f t="shared" ca="1" si="37"/>
        <v>50</v>
      </c>
      <c r="R192" s="24">
        <v>200</v>
      </c>
      <c r="S192" s="24">
        <v>10</v>
      </c>
      <c r="T192" s="24">
        <f t="shared" ca="1" si="38"/>
        <v>470</v>
      </c>
    </row>
    <row r="193" spans="1:20" x14ac:dyDescent="0.45">
      <c r="A193" s="11">
        <v>180</v>
      </c>
      <c r="B193" s="11">
        <f t="shared" ca="1" si="26"/>
        <v>0.62929470290315903</v>
      </c>
      <c r="C193" s="11">
        <f t="shared" ca="1" si="27"/>
        <v>1400</v>
      </c>
      <c r="D193" s="11">
        <f t="shared" ca="1" si="28"/>
        <v>0.55654921992453243</v>
      </c>
      <c r="E193" s="11">
        <f t="shared" ca="1" si="29"/>
        <v>1300</v>
      </c>
      <c r="F193" s="11">
        <f t="shared" ca="1" si="30"/>
        <v>0.77704235512134578</v>
      </c>
      <c r="G193" s="11">
        <f t="shared" ca="1" si="31"/>
        <v>1500</v>
      </c>
      <c r="H193" s="11">
        <f t="shared" ca="1" si="32"/>
        <v>1300</v>
      </c>
      <c r="I193" s="11">
        <f t="shared" ca="1" si="33"/>
        <v>0.91435630081167851</v>
      </c>
      <c r="J193" s="11">
        <f t="shared" ca="1" si="34"/>
        <v>15</v>
      </c>
      <c r="K193" s="24">
        <v>96</v>
      </c>
      <c r="L193" s="24">
        <f t="shared" ca="1" si="35"/>
        <v>150</v>
      </c>
      <c r="M193" s="24">
        <v>400</v>
      </c>
      <c r="N193" s="24">
        <v>20</v>
      </c>
      <c r="O193" s="24">
        <f t="shared" ca="1" si="36"/>
        <v>666</v>
      </c>
      <c r="P193" s="24">
        <v>211</v>
      </c>
      <c r="Q193" s="11">
        <f t="shared" ca="1" si="37"/>
        <v>150</v>
      </c>
      <c r="R193" s="24">
        <v>200</v>
      </c>
      <c r="S193" s="24">
        <v>10</v>
      </c>
      <c r="T193" s="24">
        <f t="shared" ca="1" si="38"/>
        <v>571</v>
      </c>
    </row>
    <row r="194" spans="1:20" x14ac:dyDescent="0.45">
      <c r="A194" s="11">
        <v>181</v>
      </c>
      <c r="B194" s="11">
        <f t="shared" ca="1" si="26"/>
        <v>0.48130566325863822</v>
      </c>
      <c r="C194" s="11">
        <f t="shared" ca="1" si="27"/>
        <v>1300</v>
      </c>
      <c r="D194" s="11">
        <f t="shared" ca="1" si="28"/>
        <v>8.4224556726545718E-2</v>
      </c>
      <c r="E194" s="11">
        <f t="shared" ca="1" si="29"/>
        <v>1000</v>
      </c>
      <c r="F194" s="11">
        <f t="shared" ca="1" si="30"/>
        <v>0.75502229528188058</v>
      </c>
      <c r="G194" s="11">
        <f t="shared" ca="1" si="31"/>
        <v>1500</v>
      </c>
      <c r="H194" s="11">
        <f t="shared" ca="1" si="32"/>
        <v>1000</v>
      </c>
      <c r="I194" s="11">
        <f t="shared" ca="1" si="33"/>
        <v>0.48052983768489155</v>
      </c>
      <c r="J194" s="11">
        <f t="shared" ca="1" si="34"/>
        <v>5</v>
      </c>
      <c r="K194" s="24">
        <v>96</v>
      </c>
      <c r="L194" s="24">
        <f t="shared" ca="1" si="35"/>
        <v>50</v>
      </c>
      <c r="M194" s="24">
        <v>400</v>
      </c>
      <c r="N194" s="24">
        <v>20</v>
      </c>
      <c r="O194" s="24">
        <f t="shared" ca="1" si="36"/>
        <v>566</v>
      </c>
      <c r="P194" s="24">
        <v>212</v>
      </c>
      <c r="Q194" s="11">
        <f t="shared" ca="1" si="37"/>
        <v>50</v>
      </c>
      <c r="R194" s="24">
        <v>200</v>
      </c>
      <c r="S194" s="24">
        <v>10</v>
      </c>
      <c r="T194" s="24">
        <f t="shared" ca="1" si="38"/>
        <v>472</v>
      </c>
    </row>
    <row r="195" spans="1:20" x14ac:dyDescent="0.45">
      <c r="A195" s="11">
        <v>182</v>
      </c>
      <c r="B195" s="11">
        <f t="shared" ca="1" si="26"/>
        <v>0.37405125121874438</v>
      </c>
      <c r="C195" s="11">
        <f t="shared" ca="1" si="27"/>
        <v>1200</v>
      </c>
      <c r="D195" s="11">
        <f t="shared" ca="1" si="28"/>
        <v>0.6268183485908142</v>
      </c>
      <c r="E195" s="11">
        <f t="shared" ca="1" si="29"/>
        <v>1400</v>
      </c>
      <c r="F195" s="11">
        <f t="shared" ca="1" si="30"/>
        <v>0.48919632899290433</v>
      </c>
      <c r="G195" s="11">
        <f t="shared" ca="1" si="31"/>
        <v>1300</v>
      </c>
      <c r="H195" s="11">
        <f t="shared" ca="1" si="32"/>
        <v>1200</v>
      </c>
      <c r="I195" s="11">
        <f t="shared" ca="1" si="33"/>
        <v>0.10277917414394389</v>
      </c>
      <c r="J195" s="11">
        <f t="shared" ca="1" si="34"/>
        <v>5</v>
      </c>
      <c r="K195" s="24">
        <v>96</v>
      </c>
      <c r="L195" s="24">
        <f t="shared" ca="1" si="35"/>
        <v>50</v>
      </c>
      <c r="M195" s="24">
        <v>400</v>
      </c>
      <c r="N195" s="24">
        <v>20</v>
      </c>
      <c r="O195" s="24">
        <f t="shared" ca="1" si="36"/>
        <v>566</v>
      </c>
      <c r="P195" s="24">
        <v>213</v>
      </c>
      <c r="Q195" s="11">
        <f t="shared" ca="1" si="37"/>
        <v>50</v>
      </c>
      <c r="R195" s="24">
        <v>200</v>
      </c>
      <c r="S195" s="24">
        <v>10</v>
      </c>
      <c r="T195" s="24">
        <f t="shared" ca="1" si="38"/>
        <v>473</v>
      </c>
    </row>
    <row r="196" spans="1:20" x14ac:dyDescent="0.45">
      <c r="A196" s="11">
        <v>183</v>
      </c>
      <c r="B196" s="11">
        <f t="shared" ca="1" si="26"/>
        <v>9.044410664557323E-2</v>
      </c>
      <c r="C196" s="11">
        <f t="shared" ca="1" si="27"/>
        <v>1000</v>
      </c>
      <c r="D196" s="11">
        <f t="shared" ca="1" si="28"/>
        <v>0.521442715234956</v>
      </c>
      <c r="E196" s="11">
        <f t="shared" ca="1" si="29"/>
        <v>1300</v>
      </c>
      <c r="F196" s="11">
        <f t="shared" ca="1" si="30"/>
        <v>0.62174819983312557</v>
      </c>
      <c r="G196" s="11">
        <f t="shared" ca="1" si="31"/>
        <v>1400</v>
      </c>
      <c r="H196" s="11">
        <f t="shared" ca="1" si="32"/>
        <v>1000</v>
      </c>
      <c r="I196" s="11">
        <f t="shared" ca="1" si="33"/>
        <v>0.8696086656030545</v>
      </c>
      <c r="J196" s="11">
        <f t="shared" ca="1" si="34"/>
        <v>10</v>
      </c>
      <c r="K196" s="24">
        <v>96</v>
      </c>
      <c r="L196" s="24">
        <f t="shared" ca="1" si="35"/>
        <v>100</v>
      </c>
      <c r="M196" s="24">
        <v>400</v>
      </c>
      <c r="N196" s="24">
        <v>20</v>
      </c>
      <c r="O196" s="24">
        <f t="shared" ca="1" si="36"/>
        <v>616</v>
      </c>
      <c r="P196" s="24">
        <v>214</v>
      </c>
      <c r="Q196" s="11">
        <f t="shared" ca="1" si="37"/>
        <v>100</v>
      </c>
      <c r="R196" s="24">
        <v>200</v>
      </c>
      <c r="S196" s="24">
        <v>10</v>
      </c>
      <c r="T196" s="24">
        <f t="shared" ca="1" si="38"/>
        <v>524</v>
      </c>
    </row>
    <row r="197" spans="1:20" x14ac:dyDescent="0.45">
      <c r="A197" s="11">
        <v>184</v>
      </c>
      <c r="B197" s="11">
        <f t="shared" ca="1" si="26"/>
        <v>5.2480617587018386E-2</v>
      </c>
      <c r="C197" s="11">
        <f t="shared" ca="1" si="27"/>
        <v>1000</v>
      </c>
      <c r="D197" s="11">
        <f t="shared" ca="1" si="28"/>
        <v>0.63969299558705184</v>
      </c>
      <c r="E197" s="11">
        <f t="shared" ca="1" si="29"/>
        <v>1400</v>
      </c>
      <c r="F197" s="11">
        <f t="shared" ca="1" si="30"/>
        <v>0.58365076695367646</v>
      </c>
      <c r="G197" s="11">
        <f t="shared" ca="1" si="31"/>
        <v>1300</v>
      </c>
      <c r="H197" s="11">
        <f t="shared" ca="1" si="32"/>
        <v>1000</v>
      </c>
      <c r="I197" s="11">
        <f t="shared" ca="1" si="33"/>
        <v>0.69015184426684251</v>
      </c>
      <c r="J197" s="11">
        <f t="shared" ca="1" si="34"/>
        <v>10</v>
      </c>
      <c r="K197" s="24">
        <v>96</v>
      </c>
      <c r="L197" s="24">
        <f t="shared" ca="1" si="35"/>
        <v>100</v>
      </c>
      <c r="M197" s="24">
        <v>400</v>
      </c>
      <c r="N197" s="24">
        <v>20</v>
      </c>
      <c r="O197" s="24">
        <f t="shared" ca="1" si="36"/>
        <v>616</v>
      </c>
      <c r="P197" s="24">
        <v>215</v>
      </c>
      <c r="Q197" s="11">
        <f t="shared" ca="1" si="37"/>
        <v>100</v>
      </c>
      <c r="R197" s="24">
        <v>200</v>
      </c>
      <c r="S197" s="24">
        <v>10</v>
      </c>
      <c r="T197" s="24">
        <f t="shared" ca="1" si="38"/>
        <v>525</v>
      </c>
    </row>
    <row r="198" spans="1:20" x14ac:dyDescent="0.45">
      <c r="A198" s="11">
        <v>185</v>
      </c>
      <c r="B198" s="11">
        <f t="shared" ca="1" si="26"/>
        <v>0.39310918873216061</v>
      </c>
      <c r="C198" s="11">
        <f t="shared" ca="1" si="27"/>
        <v>1200</v>
      </c>
      <c r="D198" s="11">
        <f t="shared" ca="1" si="28"/>
        <v>0.11449870696347864</v>
      </c>
      <c r="E198" s="11">
        <f t="shared" ca="1" si="29"/>
        <v>1100</v>
      </c>
      <c r="F198" s="11">
        <f t="shared" ca="1" si="30"/>
        <v>0.95138478978039331</v>
      </c>
      <c r="G198" s="11">
        <f t="shared" ca="1" si="31"/>
        <v>1900</v>
      </c>
      <c r="H198" s="11">
        <f t="shared" ca="1" si="32"/>
        <v>1100</v>
      </c>
      <c r="I198" s="11">
        <f t="shared" ca="1" si="33"/>
        <v>0.69317445533096678</v>
      </c>
      <c r="J198" s="11">
        <f t="shared" ca="1" si="34"/>
        <v>10</v>
      </c>
      <c r="K198" s="24">
        <v>96</v>
      </c>
      <c r="L198" s="24">
        <f t="shared" ca="1" si="35"/>
        <v>100</v>
      </c>
      <c r="M198" s="24">
        <v>400</v>
      </c>
      <c r="N198" s="24">
        <v>20</v>
      </c>
      <c r="O198" s="24">
        <f t="shared" ca="1" si="36"/>
        <v>616</v>
      </c>
      <c r="P198" s="24">
        <v>216</v>
      </c>
      <c r="Q198" s="11">
        <f t="shared" ca="1" si="37"/>
        <v>100</v>
      </c>
      <c r="R198" s="24">
        <v>200</v>
      </c>
      <c r="S198" s="24">
        <v>10</v>
      </c>
      <c r="T198" s="24">
        <f t="shared" ca="1" si="38"/>
        <v>526</v>
      </c>
    </row>
    <row r="199" spans="1:20" x14ac:dyDescent="0.45">
      <c r="A199" s="11">
        <v>186</v>
      </c>
      <c r="B199" s="11">
        <f t="shared" ca="1" si="26"/>
        <v>0.43300989242766341</v>
      </c>
      <c r="C199" s="11">
        <f t="shared" ca="1" si="27"/>
        <v>1200</v>
      </c>
      <c r="D199" s="11">
        <f t="shared" ca="1" si="28"/>
        <v>0.77774303911937015</v>
      </c>
      <c r="E199" s="11">
        <f t="shared" ca="1" si="29"/>
        <v>1500</v>
      </c>
      <c r="F199" s="11">
        <f t="shared" ca="1" si="30"/>
        <v>0.5892606810368255</v>
      </c>
      <c r="G199" s="11">
        <f t="shared" ca="1" si="31"/>
        <v>1300</v>
      </c>
      <c r="H199" s="11">
        <f t="shared" ca="1" si="32"/>
        <v>1200</v>
      </c>
      <c r="I199" s="11">
        <f t="shared" ca="1" si="33"/>
        <v>3.1954687754649047E-2</v>
      </c>
      <c r="J199" s="11">
        <f t="shared" ca="1" si="34"/>
        <v>5</v>
      </c>
      <c r="K199" s="24">
        <v>96</v>
      </c>
      <c r="L199" s="24">
        <f t="shared" ca="1" si="35"/>
        <v>50</v>
      </c>
      <c r="M199" s="24">
        <v>400</v>
      </c>
      <c r="N199" s="24">
        <v>20</v>
      </c>
      <c r="O199" s="24">
        <f t="shared" ca="1" si="36"/>
        <v>566</v>
      </c>
      <c r="P199" s="24">
        <v>217</v>
      </c>
      <c r="Q199" s="11">
        <f t="shared" ca="1" si="37"/>
        <v>50</v>
      </c>
      <c r="R199" s="24">
        <v>200</v>
      </c>
      <c r="S199" s="24">
        <v>10</v>
      </c>
      <c r="T199" s="24">
        <f t="shared" ca="1" si="38"/>
        <v>477</v>
      </c>
    </row>
    <row r="200" spans="1:20" x14ac:dyDescent="0.45">
      <c r="A200" s="11">
        <v>187</v>
      </c>
      <c r="B200" s="11">
        <f t="shared" ca="1" si="26"/>
        <v>0.87242588984608371</v>
      </c>
      <c r="C200" s="11">
        <f t="shared" ca="1" si="27"/>
        <v>1700</v>
      </c>
      <c r="D200" s="11">
        <f t="shared" ca="1" si="28"/>
        <v>0.18441646123795696</v>
      </c>
      <c r="E200" s="11">
        <f t="shared" ca="1" si="29"/>
        <v>1100</v>
      </c>
      <c r="F200" s="11">
        <f t="shared" ca="1" si="30"/>
        <v>0.25837248881992181</v>
      </c>
      <c r="G200" s="11">
        <f t="shared" ca="1" si="31"/>
        <v>1200</v>
      </c>
      <c r="H200" s="11">
        <f t="shared" ca="1" si="32"/>
        <v>1100</v>
      </c>
      <c r="I200" s="11">
        <f t="shared" ca="1" si="33"/>
        <v>0.22423586461166678</v>
      </c>
      <c r="J200" s="11">
        <f t="shared" ca="1" si="34"/>
        <v>5</v>
      </c>
      <c r="K200" s="24">
        <v>96</v>
      </c>
      <c r="L200" s="24">
        <f t="shared" ca="1" si="35"/>
        <v>50</v>
      </c>
      <c r="M200" s="24">
        <v>400</v>
      </c>
      <c r="N200" s="24">
        <v>20</v>
      </c>
      <c r="O200" s="24">
        <f t="shared" ca="1" si="36"/>
        <v>566</v>
      </c>
      <c r="P200" s="24">
        <v>218</v>
      </c>
      <c r="Q200" s="11">
        <f t="shared" ca="1" si="37"/>
        <v>50</v>
      </c>
      <c r="R200" s="24">
        <v>200</v>
      </c>
      <c r="S200" s="24">
        <v>10</v>
      </c>
      <c r="T200" s="24">
        <f t="shared" ca="1" si="38"/>
        <v>478</v>
      </c>
    </row>
    <row r="201" spans="1:20" x14ac:dyDescent="0.45">
      <c r="A201" s="11">
        <v>188</v>
      </c>
      <c r="B201" s="11">
        <f t="shared" ca="1" si="26"/>
        <v>0.35700221315369174</v>
      </c>
      <c r="C201" s="11">
        <f t="shared" ca="1" si="27"/>
        <v>1200</v>
      </c>
      <c r="D201" s="11">
        <f t="shared" ca="1" si="28"/>
        <v>0.66259289302258084</v>
      </c>
      <c r="E201" s="11">
        <f t="shared" ca="1" si="29"/>
        <v>1400</v>
      </c>
      <c r="F201" s="11">
        <f t="shared" ca="1" si="30"/>
        <v>0.72654962843128679</v>
      </c>
      <c r="G201" s="11">
        <f t="shared" ca="1" si="31"/>
        <v>1500</v>
      </c>
      <c r="H201" s="11">
        <f t="shared" ca="1" si="32"/>
        <v>1200</v>
      </c>
      <c r="I201" s="11">
        <f t="shared" ca="1" si="33"/>
        <v>0.2655891675110349</v>
      </c>
      <c r="J201" s="11">
        <f t="shared" ca="1" si="34"/>
        <v>5</v>
      </c>
      <c r="K201" s="24">
        <v>96</v>
      </c>
      <c r="L201" s="24">
        <f t="shared" ca="1" si="35"/>
        <v>50</v>
      </c>
      <c r="M201" s="24">
        <v>400</v>
      </c>
      <c r="N201" s="24">
        <v>20</v>
      </c>
      <c r="O201" s="24">
        <f t="shared" ca="1" si="36"/>
        <v>566</v>
      </c>
      <c r="P201" s="24">
        <v>219</v>
      </c>
      <c r="Q201" s="11">
        <f t="shared" ca="1" si="37"/>
        <v>50</v>
      </c>
      <c r="R201" s="24">
        <v>200</v>
      </c>
      <c r="S201" s="24">
        <v>10</v>
      </c>
      <c r="T201" s="24">
        <f t="shared" ca="1" si="38"/>
        <v>479</v>
      </c>
    </row>
    <row r="202" spans="1:20" x14ac:dyDescent="0.45">
      <c r="A202" s="11">
        <v>189</v>
      </c>
      <c r="B202" s="11">
        <f t="shared" ca="1" si="26"/>
        <v>0.90067754529175925</v>
      </c>
      <c r="C202" s="11">
        <f t="shared" ca="1" si="27"/>
        <v>1800</v>
      </c>
      <c r="D202" s="11">
        <f t="shared" ca="1" si="28"/>
        <v>0.63935250704030167</v>
      </c>
      <c r="E202" s="11">
        <f t="shared" ca="1" si="29"/>
        <v>1400</v>
      </c>
      <c r="F202" s="11">
        <f t="shared" ca="1" si="30"/>
        <v>0.53350793872981483</v>
      </c>
      <c r="G202" s="11">
        <f t="shared" ca="1" si="31"/>
        <v>1300</v>
      </c>
      <c r="H202" s="11">
        <f t="shared" ca="1" si="32"/>
        <v>1300</v>
      </c>
      <c r="I202" s="11">
        <f t="shared" ca="1" si="33"/>
        <v>0.34961419735686605</v>
      </c>
      <c r="J202" s="11">
        <f t="shared" ca="1" si="34"/>
        <v>5</v>
      </c>
      <c r="K202" s="24">
        <v>96</v>
      </c>
      <c r="L202" s="24">
        <f t="shared" ca="1" si="35"/>
        <v>50</v>
      </c>
      <c r="M202" s="24">
        <v>400</v>
      </c>
      <c r="N202" s="24">
        <v>20</v>
      </c>
      <c r="O202" s="24">
        <f t="shared" ca="1" si="36"/>
        <v>566</v>
      </c>
      <c r="P202" s="24">
        <v>220</v>
      </c>
      <c r="Q202" s="11">
        <f t="shared" ca="1" si="37"/>
        <v>50</v>
      </c>
      <c r="R202" s="24">
        <v>200</v>
      </c>
      <c r="S202" s="24">
        <v>10</v>
      </c>
      <c r="T202" s="24">
        <f t="shared" ca="1" si="38"/>
        <v>480</v>
      </c>
    </row>
    <row r="203" spans="1:20" x14ac:dyDescent="0.45">
      <c r="A203" s="11">
        <v>190</v>
      </c>
      <c r="B203" s="11">
        <f t="shared" ca="1" si="26"/>
        <v>0.53505330652844785</v>
      </c>
      <c r="C203" s="11">
        <f t="shared" ca="1" si="27"/>
        <v>1300</v>
      </c>
      <c r="D203" s="11">
        <f t="shared" ca="1" si="28"/>
        <v>0.84692540889113332</v>
      </c>
      <c r="E203" s="11">
        <f t="shared" ca="1" si="29"/>
        <v>1700</v>
      </c>
      <c r="F203" s="11">
        <f t="shared" ca="1" si="30"/>
        <v>0.83362567158170664</v>
      </c>
      <c r="G203" s="11">
        <f t="shared" ca="1" si="31"/>
        <v>1600</v>
      </c>
      <c r="H203" s="11">
        <f t="shared" ca="1" si="32"/>
        <v>1300</v>
      </c>
      <c r="I203" s="11">
        <f t="shared" ca="1" si="33"/>
        <v>0.27515665153314772</v>
      </c>
      <c r="J203" s="11">
        <f t="shared" ca="1" si="34"/>
        <v>5</v>
      </c>
      <c r="K203" s="24">
        <v>96</v>
      </c>
      <c r="L203" s="24">
        <f t="shared" ca="1" si="35"/>
        <v>50</v>
      </c>
      <c r="M203" s="24">
        <v>400</v>
      </c>
      <c r="N203" s="24">
        <v>20</v>
      </c>
      <c r="O203" s="24">
        <f t="shared" ca="1" si="36"/>
        <v>566</v>
      </c>
      <c r="P203" s="24">
        <v>221</v>
      </c>
      <c r="Q203" s="11">
        <f t="shared" ca="1" si="37"/>
        <v>50</v>
      </c>
      <c r="R203" s="24">
        <v>200</v>
      </c>
      <c r="S203" s="24">
        <v>10</v>
      </c>
      <c r="T203" s="24">
        <f t="shared" ca="1" si="38"/>
        <v>481</v>
      </c>
    </row>
    <row r="204" spans="1:20" x14ac:dyDescent="0.45">
      <c r="A204" s="11">
        <v>191</v>
      </c>
      <c r="B204" s="11">
        <f t="shared" ca="1" si="26"/>
        <v>0.845993498792738</v>
      </c>
      <c r="C204" s="11">
        <f t="shared" ca="1" si="27"/>
        <v>1700</v>
      </c>
      <c r="D204" s="11">
        <f t="shared" ca="1" si="28"/>
        <v>0.30113672431718508</v>
      </c>
      <c r="E204" s="11">
        <f t="shared" ca="1" si="29"/>
        <v>1200</v>
      </c>
      <c r="F204" s="11">
        <f t="shared" ca="1" si="30"/>
        <v>0.84021021272101559</v>
      </c>
      <c r="G204" s="11">
        <f t="shared" ca="1" si="31"/>
        <v>1700</v>
      </c>
      <c r="H204" s="11">
        <f t="shared" ca="1" si="32"/>
        <v>1200</v>
      </c>
      <c r="I204" s="11">
        <f t="shared" ca="1" si="33"/>
        <v>0.82223255989755861</v>
      </c>
      <c r="J204" s="11">
        <f t="shared" ca="1" si="34"/>
        <v>10</v>
      </c>
      <c r="K204" s="24">
        <v>96</v>
      </c>
      <c r="L204" s="24">
        <f t="shared" ca="1" si="35"/>
        <v>100</v>
      </c>
      <c r="M204" s="24">
        <v>400</v>
      </c>
      <c r="N204" s="24">
        <v>20</v>
      </c>
      <c r="O204" s="24">
        <f t="shared" ca="1" si="36"/>
        <v>616</v>
      </c>
      <c r="P204" s="24">
        <v>222</v>
      </c>
      <c r="Q204" s="11">
        <f t="shared" ca="1" si="37"/>
        <v>100</v>
      </c>
      <c r="R204" s="24">
        <v>200</v>
      </c>
      <c r="S204" s="24">
        <v>10</v>
      </c>
      <c r="T204" s="24">
        <f t="shared" ca="1" si="38"/>
        <v>532</v>
      </c>
    </row>
    <row r="205" spans="1:20" x14ac:dyDescent="0.45">
      <c r="A205" s="11">
        <v>192</v>
      </c>
      <c r="B205" s="11">
        <f t="shared" ca="1" si="26"/>
        <v>0.41217771981451212</v>
      </c>
      <c r="C205" s="11">
        <f t="shared" ca="1" si="27"/>
        <v>1200</v>
      </c>
      <c r="D205" s="11">
        <f t="shared" ca="1" si="28"/>
        <v>0.67106927328941135</v>
      </c>
      <c r="E205" s="11">
        <f t="shared" ca="1" si="29"/>
        <v>1400</v>
      </c>
      <c r="F205" s="11">
        <f t="shared" ca="1" si="30"/>
        <v>0.92887998194659871</v>
      </c>
      <c r="G205" s="11">
        <f t="shared" ca="1" si="31"/>
        <v>1800</v>
      </c>
      <c r="H205" s="11">
        <f t="shared" ca="1" si="32"/>
        <v>1200</v>
      </c>
      <c r="I205" s="11">
        <f t="shared" ca="1" si="33"/>
        <v>0.59958057198893799</v>
      </c>
      <c r="J205" s="11">
        <f t="shared" ca="1" si="34"/>
        <v>5</v>
      </c>
      <c r="K205" s="24">
        <v>96</v>
      </c>
      <c r="L205" s="24">
        <f t="shared" ca="1" si="35"/>
        <v>50</v>
      </c>
      <c r="M205" s="24">
        <v>400</v>
      </c>
      <c r="N205" s="24">
        <v>20</v>
      </c>
      <c r="O205" s="24">
        <f t="shared" ca="1" si="36"/>
        <v>566</v>
      </c>
      <c r="P205" s="24">
        <v>223</v>
      </c>
      <c r="Q205" s="11">
        <f t="shared" ca="1" si="37"/>
        <v>50</v>
      </c>
      <c r="R205" s="24">
        <v>200</v>
      </c>
      <c r="S205" s="24">
        <v>10</v>
      </c>
      <c r="T205" s="24">
        <f t="shared" ca="1" si="38"/>
        <v>483</v>
      </c>
    </row>
    <row r="206" spans="1:20" x14ac:dyDescent="0.45">
      <c r="A206" s="11">
        <v>193</v>
      </c>
      <c r="B206" s="11">
        <f t="shared" ca="1" si="26"/>
        <v>0.29241525468601637</v>
      </c>
      <c r="C206" s="11">
        <f t="shared" ca="1" si="27"/>
        <v>1200</v>
      </c>
      <c r="D206" s="11">
        <f t="shared" ca="1" si="28"/>
        <v>0.85569720240382596</v>
      </c>
      <c r="E206" s="11">
        <f t="shared" ca="1" si="29"/>
        <v>1700</v>
      </c>
      <c r="F206" s="11">
        <f t="shared" ca="1" si="30"/>
        <v>0.14626413192604359</v>
      </c>
      <c r="G206" s="11">
        <f t="shared" ca="1" si="31"/>
        <v>1100</v>
      </c>
      <c r="H206" s="11">
        <f t="shared" ca="1" si="32"/>
        <v>1100</v>
      </c>
      <c r="I206" s="11">
        <f t="shared" ca="1" si="33"/>
        <v>5.9138928869950091E-2</v>
      </c>
      <c r="J206" s="11">
        <f t="shared" ca="1" si="34"/>
        <v>5</v>
      </c>
      <c r="K206" s="24">
        <v>96</v>
      </c>
      <c r="L206" s="24">
        <f t="shared" ca="1" si="35"/>
        <v>50</v>
      </c>
      <c r="M206" s="24">
        <v>400</v>
      </c>
      <c r="N206" s="24">
        <v>20</v>
      </c>
      <c r="O206" s="24">
        <f t="shared" ca="1" si="36"/>
        <v>566</v>
      </c>
      <c r="P206" s="24">
        <v>224</v>
      </c>
      <c r="Q206" s="11">
        <f t="shared" ca="1" si="37"/>
        <v>50</v>
      </c>
      <c r="R206" s="24">
        <v>200</v>
      </c>
      <c r="S206" s="24">
        <v>10</v>
      </c>
      <c r="T206" s="24">
        <f t="shared" ca="1" si="38"/>
        <v>484</v>
      </c>
    </row>
    <row r="207" spans="1:20" x14ac:dyDescent="0.45">
      <c r="A207" s="11">
        <v>194</v>
      </c>
      <c r="B207" s="11">
        <f t="shared" ref="B207:B270" ca="1" si="39">RAND()</f>
        <v>0.93060339725499297</v>
      </c>
      <c r="C207" s="11">
        <f t="shared" ref="C207:C270" ca="1" si="40">LOOKUP(B207, $C$2:$C$11, $A$2:$A$11)</f>
        <v>1800</v>
      </c>
      <c r="D207" s="11">
        <f t="shared" ref="D207:D270" ca="1" si="41">RAND()</f>
        <v>0.48861459814834707</v>
      </c>
      <c r="E207" s="11">
        <f t="shared" ref="E207:E270" ca="1" si="42">LOOKUP(D207, $C$2:$C$11, $A$2:$A$11)</f>
        <v>1300</v>
      </c>
      <c r="F207" s="11">
        <f t="shared" ref="F207:F270" ca="1" si="43">RAND()</f>
        <v>6.073284560114911E-3</v>
      </c>
      <c r="G207" s="11">
        <f t="shared" ref="G207:G270" ca="1" si="44">LOOKUP(F207, $C$2:$C$11, $A$2:$A$11)</f>
        <v>1000</v>
      </c>
      <c r="H207" s="11">
        <f t="shared" ref="H207:H270" ca="1" si="45">MIN(C207, E207, G207)</f>
        <v>1000</v>
      </c>
      <c r="I207" s="11">
        <f t="shared" ref="I207:I270" ca="1" si="46">RAND()</f>
        <v>0.65762982978755502</v>
      </c>
      <c r="J207" s="11">
        <f t="shared" ref="J207:J270" ca="1" si="47">LOOKUP(I207, $G$2:$G$4, $E$2:$E$4)</f>
        <v>10</v>
      </c>
      <c r="K207" s="24">
        <v>96</v>
      </c>
      <c r="L207" s="24">
        <f t="shared" ref="L207:L270" ca="1" si="48">J207*10</f>
        <v>100</v>
      </c>
      <c r="M207" s="24">
        <v>400</v>
      </c>
      <c r="N207" s="24">
        <v>20</v>
      </c>
      <c r="O207" s="24">
        <f t="shared" ref="O207:O270" ca="1" si="49">K207+L207+M207+N207</f>
        <v>616</v>
      </c>
      <c r="P207" s="24">
        <v>225</v>
      </c>
      <c r="Q207" s="11">
        <f t="shared" ref="Q207:Q270" ca="1" si="50">J207*10</f>
        <v>100</v>
      </c>
      <c r="R207" s="24">
        <v>200</v>
      </c>
      <c r="S207" s="24">
        <v>10</v>
      </c>
      <c r="T207" s="24">
        <f t="shared" ref="T207:T270" ca="1" si="51">SUM(P207:S207)</f>
        <v>535</v>
      </c>
    </row>
    <row r="208" spans="1:20" x14ac:dyDescent="0.45">
      <c r="A208" s="11">
        <v>195</v>
      </c>
      <c r="B208" s="11">
        <f t="shared" ca="1" si="39"/>
        <v>0.34586623789512883</v>
      </c>
      <c r="C208" s="11">
        <f t="shared" ca="1" si="40"/>
        <v>1200</v>
      </c>
      <c r="D208" s="11">
        <f t="shared" ca="1" si="41"/>
        <v>0.13474631837314233</v>
      </c>
      <c r="E208" s="11">
        <f t="shared" ca="1" si="42"/>
        <v>1100</v>
      </c>
      <c r="F208" s="11">
        <f t="shared" ca="1" si="43"/>
        <v>0.56986873473182098</v>
      </c>
      <c r="G208" s="11">
        <f t="shared" ca="1" si="44"/>
        <v>1300</v>
      </c>
      <c r="H208" s="11">
        <f t="shared" ca="1" si="45"/>
        <v>1100</v>
      </c>
      <c r="I208" s="11">
        <f t="shared" ca="1" si="46"/>
        <v>0.31916602854650888</v>
      </c>
      <c r="J208" s="11">
        <f t="shared" ca="1" si="47"/>
        <v>5</v>
      </c>
      <c r="K208" s="24">
        <v>96</v>
      </c>
      <c r="L208" s="24">
        <f t="shared" ca="1" si="48"/>
        <v>50</v>
      </c>
      <c r="M208" s="24">
        <v>400</v>
      </c>
      <c r="N208" s="24">
        <v>20</v>
      </c>
      <c r="O208" s="24">
        <f t="shared" ca="1" si="49"/>
        <v>566</v>
      </c>
      <c r="P208" s="24">
        <v>226</v>
      </c>
      <c r="Q208" s="11">
        <f t="shared" ca="1" si="50"/>
        <v>50</v>
      </c>
      <c r="R208" s="24">
        <v>200</v>
      </c>
      <c r="S208" s="24">
        <v>10</v>
      </c>
      <c r="T208" s="24">
        <f t="shared" ca="1" si="51"/>
        <v>486</v>
      </c>
    </row>
    <row r="209" spans="1:20" x14ac:dyDescent="0.45">
      <c r="A209" s="11">
        <v>196</v>
      </c>
      <c r="B209" s="11">
        <f t="shared" ca="1" si="39"/>
        <v>0.47857340692531258</v>
      </c>
      <c r="C209" s="11">
        <f t="shared" ca="1" si="40"/>
        <v>1200</v>
      </c>
      <c r="D209" s="11">
        <f t="shared" ca="1" si="41"/>
        <v>2.5391687275831631E-2</v>
      </c>
      <c r="E209" s="11">
        <f t="shared" ca="1" si="42"/>
        <v>1000</v>
      </c>
      <c r="F209" s="11">
        <f t="shared" ca="1" si="43"/>
        <v>0.88532863971204323</v>
      </c>
      <c r="G209" s="11">
        <f t="shared" ca="1" si="44"/>
        <v>1700</v>
      </c>
      <c r="H209" s="11">
        <f t="shared" ca="1" si="45"/>
        <v>1000</v>
      </c>
      <c r="I209" s="11">
        <f t="shared" ca="1" si="46"/>
        <v>0.55520842243590773</v>
      </c>
      <c r="J209" s="11">
        <f t="shared" ca="1" si="47"/>
        <v>5</v>
      </c>
      <c r="K209" s="24">
        <v>96</v>
      </c>
      <c r="L209" s="24">
        <f t="shared" ca="1" si="48"/>
        <v>50</v>
      </c>
      <c r="M209" s="24">
        <v>400</v>
      </c>
      <c r="N209" s="24">
        <v>20</v>
      </c>
      <c r="O209" s="24">
        <f t="shared" ca="1" si="49"/>
        <v>566</v>
      </c>
      <c r="P209" s="24">
        <v>227</v>
      </c>
      <c r="Q209" s="11">
        <f t="shared" ca="1" si="50"/>
        <v>50</v>
      </c>
      <c r="R209" s="24">
        <v>200</v>
      </c>
      <c r="S209" s="24">
        <v>10</v>
      </c>
      <c r="T209" s="24">
        <f t="shared" ca="1" si="51"/>
        <v>487</v>
      </c>
    </row>
    <row r="210" spans="1:20" x14ac:dyDescent="0.45">
      <c r="A210" s="11">
        <v>197</v>
      </c>
      <c r="B210" s="11">
        <f t="shared" ca="1" si="39"/>
        <v>0.53582245344388613</v>
      </c>
      <c r="C210" s="11">
        <f t="shared" ca="1" si="40"/>
        <v>1300</v>
      </c>
      <c r="D210" s="11">
        <f t="shared" ca="1" si="41"/>
        <v>5.1159153597448492E-2</v>
      </c>
      <c r="E210" s="11">
        <f t="shared" ca="1" si="42"/>
        <v>1000</v>
      </c>
      <c r="F210" s="11">
        <f t="shared" ca="1" si="43"/>
        <v>0.74424892177212154</v>
      </c>
      <c r="G210" s="11">
        <f t="shared" ca="1" si="44"/>
        <v>1500</v>
      </c>
      <c r="H210" s="11">
        <f t="shared" ca="1" si="45"/>
        <v>1000</v>
      </c>
      <c r="I210" s="11">
        <f t="shared" ca="1" si="46"/>
        <v>0.18015707296288408</v>
      </c>
      <c r="J210" s="11">
        <f t="shared" ca="1" si="47"/>
        <v>5</v>
      </c>
      <c r="K210" s="24">
        <v>96</v>
      </c>
      <c r="L210" s="24">
        <f t="shared" ca="1" si="48"/>
        <v>50</v>
      </c>
      <c r="M210" s="24">
        <v>400</v>
      </c>
      <c r="N210" s="24">
        <v>20</v>
      </c>
      <c r="O210" s="24">
        <f t="shared" ca="1" si="49"/>
        <v>566</v>
      </c>
      <c r="P210" s="24">
        <v>228</v>
      </c>
      <c r="Q210" s="11">
        <f t="shared" ca="1" si="50"/>
        <v>50</v>
      </c>
      <c r="R210" s="24">
        <v>200</v>
      </c>
      <c r="S210" s="24">
        <v>10</v>
      </c>
      <c r="T210" s="24">
        <f t="shared" ca="1" si="51"/>
        <v>488</v>
      </c>
    </row>
    <row r="211" spans="1:20" x14ac:dyDescent="0.45">
      <c r="A211" s="11">
        <v>198</v>
      </c>
      <c r="B211" s="11">
        <f t="shared" ca="1" si="39"/>
        <v>0.95812809719957925</v>
      </c>
      <c r="C211" s="11">
        <f t="shared" ca="1" si="40"/>
        <v>1900</v>
      </c>
      <c r="D211" s="11">
        <f t="shared" ca="1" si="41"/>
        <v>0.98355034466833391</v>
      </c>
      <c r="E211" s="11">
        <f t="shared" ca="1" si="42"/>
        <v>1900</v>
      </c>
      <c r="F211" s="11">
        <f t="shared" ca="1" si="43"/>
        <v>0.62180585148602097</v>
      </c>
      <c r="G211" s="11">
        <f t="shared" ca="1" si="44"/>
        <v>1400</v>
      </c>
      <c r="H211" s="11">
        <f t="shared" ca="1" si="45"/>
        <v>1400</v>
      </c>
      <c r="I211" s="11">
        <f t="shared" ca="1" si="46"/>
        <v>0.86874282234772016</v>
      </c>
      <c r="J211" s="11">
        <f t="shared" ca="1" si="47"/>
        <v>10</v>
      </c>
      <c r="K211" s="24">
        <v>96</v>
      </c>
      <c r="L211" s="24">
        <f t="shared" ca="1" si="48"/>
        <v>100</v>
      </c>
      <c r="M211" s="24">
        <v>400</v>
      </c>
      <c r="N211" s="24">
        <v>20</v>
      </c>
      <c r="O211" s="24">
        <f t="shared" ca="1" si="49"/>
        <v>616</v>
      </c>
      <c r="P211" s="24">
        <v>229</v>
      </c>
      <c r="Q211" s="11">
        <f t="shared" ca="1" si="50"/>
        <v>100</v>
      </c>
      <c r="R211" s="24">
        <v>200</v>
      </c>
      <c r="S211" s="24">
        <v>10</v>
      </c>
      <c r="T211" s="24">
        <f t="shared" ca="1" si="51"/>
        <v>539</v>
      </c>
    </row>
    <row r="212" spans="1:20" x14ac:dyDescent="0.45">
      <c r="A212" s="11">
        <v>199</v>
      </c>
      <c r="B212" s="11">
        <f t="shared" ca="1" si="39"/>
        <v>0.84106891210037626</v>
      </c>
      <c r="C212" s="11">
        <f t="shared" ca="1" si="40"/>
        <v>1700</v>
      </c>
      <c r="D212" s="11">
        <f t="shared" ca="1" si="41"/>
        <v>0.9966362878272963</v>
      </c>
      <c r="E212" s="11">
        <f t="shared" ca="1" si="42"/>
        <v>1900</v>
      </c>
      <c r="F212" s="11">
        <f t="shared" ca="1" si="43"/>
        <v>4.1198129480306767E-2</v>
      </c>
      <c r="G212" s="11">
        <f t="shared" ca="1" si="44"/>
        <v>1000</v>
      </c>
      <c r="H212" s="11">
        <f t="shared" ca="1" si="45"/>
        <v>1000</v>
      </c>
      <c r="I212" s="11">
        <f t="shared" ca="1" si="46"/>
        <v>0.13572390369747556</v>
      </c>
      <c r="J212" s="11">
        <f t="shared" ca="1" si="47"/>
        <v>5</v>
      </c>
      <c r="K212" s="24">
        <v>96</v>
      </c>
      <c r="L212" s="24">
        <f t="shared" ca="1" si="48"/>
        <v>50</v>
      </c>
      <c r="M212" s="24">
        <v>400</v>
      </c>
      <c r="N212" s="24">
        <v>20</v>
      </c>
      <c r="O212" s="24">
        <f t="shared" ca="1" si="49"/>
        <v>566</v>
      </c>
      <c r="P212" s="24">
        <v>230</v>
      </c>
      <c r="Q212" s="11">
        <f t="shared" ca="1" si="50"/>
        <v>50</v>
      </c>
      <c r="R212" s="24">
        <v>200</v>
      </c>
      <c r="S212" s="24">
        <v>10</v>
      </c>
      <c r="T212" s="24">
        <f t="shared" ca="1" si="51"/>
        <v>490</v>
      </c>
    </row>
    <row r="213" spans="1:20" x14ac:dyDescent="0.45">
      <c r="A213" s="11">
        <v>200</v>
      </c>
      <c r="B213" s="11">
        <f t="shared" ca="1" si="39"/>
        <v>0.18901398196478392</v>
      </c>
      <c r="C213" s="11">
        <f t="shared" ca="1" si="40"/>
        <v>1100</v>
      </c>
      <c r="D213" s="11">
        <f t="shared" ca="1" si="41"/>
        <v>0.45842247519192136</v>
      </c>
      <c r="E213" s="11">
        <f t="shared" ca="1" si="42"/>
        <v>1200</v>
      </c>
      <c r="F213" s="11">
        <f t="shared" ca="1" si="43"/>
        <v>0.68533130072443249</v>
      </c>
      <c r="G213" s="11">
        <f t="shared" ca="1" si="44"/>
        <v>1400</v>
      </c>
      <c r="H213" s="11">
        <f t="shared" ca="1" si="45"/>
        <v>1100</v>
      </c>
      <c r="I213" s="11">
        <f t="shared" ca="1" si="46"/>
        <v>0.85434987761136194</v>
      </c>
      <c r="J213" s="11">
        <f t="shared" ca="1" si="47"/>
        <v>10</v>
      </c>
      <c r="K213" s="24">
        <v>96</v>
      </c>
      <c r="L213" s="24">
        <f t="shared" ca="1" si="48"/>
        <v>100</v>
      </c>
      <c r="M213" s="24">
        <v>400</v>
      </c>
      <c r="N213" s="24">
        <v>20</v>
      </c>
      <c r="O213" s="24">
        <f t="shared" ca="1" si="49"/>
        <v>616</v>
      </c>
      <c r="P213" s="24">
        <v>231</v>
      </c>
      <c r="Q213" s="11">
        <f t="shared" ca="1" si="50"/>
        <v>100</v>
      </c>
      <c r="R213" s="24">
        <v>200</v>
      </c>
      <c r="S213" s="24">
        <v>10</v>
      </c>
      <c r="T213" s="24">
        <f t="shared" ca="1" si="51"/>
        <v>541</v>
      </c>
    </row>
    <row r="214" spans="1:20" x14ac:dyDescent="0.45">
      <c r="A214" s="11">
        <v>201</v>
      </c>
      <c r="B214" s="11">
        <f t="shared" ca="1" si="39"/>
        <v>0.56488625095481992</v>
      </c>
      <c r="C214" s="11">
        <f t="shared" ca="1" si="40"/>
        <v>1300</v>
      </c>
      <c r="D214" s="11">
        <f t="shared" ca="1" si="41"/>
        <v>0.40635216929565443</v>
      </c>
      <c r="E214" s="11">
        <f t="shared" ca="1" si="42"/>
        <v>1200</v>
      </c>
      <c r="F214" s="11">
        <f t="shared" ca="1" si="43"/>
        <v>0.62530766950276417</v>
      </c>
      <c r="G214" s="11">
        <f t="shared" ca="1" si="44"/>
        <v>1400</v>
      </c>
      <c r="H214" s="11">
        <f t="shared" ca="1" si="45"/>
        <v>1200</v>
      </c>
      <c r="I214" s="11">
        <f t="shared" ca="1" si="46"/>
        <v>0.44195113951707454</v>
      </c>
      <c r="J214" s="11">
        <f t="shared" ca="1" si="47"/>
        <v>5</v>
      </c>
      <c r="K214" s="24">
        <v>96</v>
      </c>
      <c r="L214" s="24">
        <f t="shared" ca="1" si="48"/>
        <v>50</v>
      </c>
      <c r="M214" s="24">
        <v>400</v>
      </c>
      <c r="N214" s="24">
        <v>20</v>
      </c>
      <c r="O214" s="24">
        <f t="shared" ca="1" si="49"/>
        <v>566</v>
      </c>
      <c r="P214" s="24">
        <v>232</v>
      </c>
      <c r="Q214" s="11">
        <f t="shared" ca="1" si="50"/>
        <v>50</v>
      </c>
      <c r="R214" s="24">
        <v>200</v>
      </c>
      <c r="S214" s="24">
        <v>10</v>
      </c>
      <c r="T214" s="24">
        <f t="shared" ca="1" si="51"/>
        <v>492</v>
      </c>
    </row>
    <row r="215" spans="1:20" x14ac:dyDescent="0.45">
      <c r="A215" s="11">
        <v>202</v>
      </c>
      <c r="B215" s="11">
        <f t="shared" ca="1" si="39"/>
        <v>0.79789963610708026</v>
      </c>
      <c r="C215" s="11">
        <f t="shared" ca="1" si="40"/>
        <v>1500</v>
      </c>
      <c r="D215" s="11">
        <f t="shared" ca="1" si="41"/>
        <v>0.94332302013697034</v>
      </c>
      <c r="E215" s="11">
        <f t="shared" ca="1" si="42"/>
        <v>1800</v>
      </c>
      <c r="F215" s="11">
        <f t="shared" ca="1" si="43"/>
        <v>0.84674761776427909</v>
      </c>
      <c r="G215" s="11">
        <f t="shared" ca="1" si="44"/>
        <v>1700</v>
      </c>
      <c r="H215" s="11">
        <f t="shared" ca="1" si="45"/>
        <v>1500</v>
      </c>
      <c r="I215" s="11">
        <f t="shared" ca="1" si="46"/>
        <v>0.11837673138005933</v>
      </c>
      <c r="J215" s="11">
        <f t="shared" ca="1" si="47"/>
        <v>5</v>
      </c>
      <c r="K215" s="24">
        <v>96</v>
      </c>
      <c r="L215" s="24">
        <f t="shared" ca="1" si="48"/>
        <v>50</v>
      </c>
      <c r="M215" s="24">
        <v>400</v>
      </c>
      <c r="N215" s="24">
        <v>20</v>
      </c>
      <c r="O215" s="24">
        <f t="shared" ca="1" si="49"/>
        <v>566</v>
      </c>
      <c r="P215" s="24">
        <v>233</v>
      </c>
      <c r="Q215" s="11">
        <f t="shared" ca="1" si="50"/>
        <v>50</v>
      </c>
      <c r="R215" s="24">
        <v>200</v>
      </c>
      <c r="S215" s="24">
        <v>10</v>
      </c>
      <c r="T215" s="24">
        <f t="shared" ca="1" si="51"/>
        <v>493</v>
      </c>
    </row>
    <row r="216" spans="1:20" x14ac:dyDescent="0.45">
      <c r="A216" s="11">
        <v>203</v>
      </c>
      <c r="B216" s="11">
        <f t="shared" ca="1" si="39"/>
        <v>0.84082997780554203</v>
      </c>
      <c r="C216" s="11">
        <f t="shared" ca="1" si="40"/>
        <v>1700</v>
      </c>
      <c r="D216" s="11">
        <f t="shared" ca="1" si="41"/>
        <v>0.39687845320824444</v>
      </c>
      <c r="E216" s="11">
        <f t="shared" ca="1" si="42"/>
        <v>1200</v>
      </c>
      <c r="F216" s="11">
        <f t="shared" ca="1" si="43"/>
        <v>0.20978062605419157</v>
      </c>
      <c r="G216" s="11">
        <f t="shared" ca="1" si="44"/>
        <v>1100</v>
      </c>
      <c r="H216" s="11">
        <f t="shared" ca="1" si="45"/>
        <v>1100</v>
      </c>
      <c r="I216" s="11">
        <f t="shared" ca="1" si="46"/>
        <v>0.76967160646756683</v>
      </c>
      <c r="J216" s="11">
        <f t="shared" ca="1" si="47"/>
        <v>10</v>
      </c>
      <c r="K216" s="24">
        <v>96</v>
      </c>
      <c r="L216" s="24">
        <f t="shared" ca="1" si="48"/>
        <v>100</v>
      </c>
      <c r="M216" s="24">
        <v>400</v>
      </c>
      <c r="N216" s="24">
        <v>20</v>
      </c>
      <c r="O216" s="24">
        <f t="shared" ca="1" si="49"/>
        <v>616</v>
      </c>
      <c r="P216" s="24">
        <v>234</v>
      </c>
      <c r="Q216" s="11">
        <f t="shared" ca="1" si="50"/>
        <v>100</v>
      </c>
      <c r="R216" s="24">
        <v>200</v>
      </c>
      <c r="S216" s="24">
        <v>10</v>
      </c>
      <c r="T216" s="24">
        <f t="shared" ca="1" si="51"/>
        <v>544</v>
      </c>
    </row>
    <row r="217" spans="1:20" x14ac:dyDescent="0.45">
      <c r="A217" s="11">
        <v>204</v>
      </c>
      <c r="B217" s="11">
        <f t="shared" ca="1" si="39"/>
        <v>0.38742358010514311</v>
      </c>
      <c r="C217" s="11">
        <f t="shared" ca="1" si="40"/>
        <v>1200</v>
      </c>
      <c r="D217" s="11">
        <f t="shared" ca="1" si="41"/>
        <v>0.17709269199269373</v>
      </c>
      <c r="E217" s="11">
        <f t="shared" ca="1" si="42"/>
        <v>1100</v>
      </c>
      <c r="F217" s="11">
        <f t="shared" ca="1" si="43"/>
        <v>0.62945627126627857</v>
      </c>
      <c r="G217" s="11">
        <f t="shared" ca="1" si="44"/>
        <v>1400</v>
      </c>
      <c r="H217" s="11">
        <f t="shared" ca="1" si="45"/>
        <v>1100</v>
      </c>
      <c r="I217" s="11">
        <f t="shared" ca="1" si="46"/>
        <v>0.67749990001164984</v>
      </c>
      <c r="J217" s="11">
        <f t="shared" ca="1" si="47"/>
        <v>10</v>
      </c>
      <c r="K217" s="24">
        <v>96</v>
      </c>
      <c r="L217" s="24">
        <f t="shared" ca="1" si="48"/>
        <v>100</v>
      </c>
      <c r="M217" s="24">
        <v>400</v>
      </c>
      <c r="N217" s="24">
        <v>20</v>
      </c>
      <c r="O217" s="24">
        <f t="shared" ca="1" si="49"/>
        <v>616</v>
      </c>
      <c r="P217" s="24">
        <v>235</v>
      </c>
      <c r="Q217" s="11">
        <f t="shared" ca="1" si="50"/>
        <v>100</v>
      </c>
      <c r="R217" s="24">
        <v>200</v>
      </c>
      <c r="S217" s="24">
        <v>10</v>
      </c>
      <c r="T217" s="24">
        <f t="shared" ca="1" si="51"/>
        <v>545</v>
      </c>
    </row>
    <row r="218" spans="1:20" x14ac:dyDescent="0.45">
      <c r="A218" s="11">
        <v>205</v>
      </c>
      <c r="B218" s="11">
        <f t="shared" ca="1" si="39"/>
        <v>0.70185575431608871</v>
      </c>
      <c r="C218" s="11">
        <f t="shared" ca="1" si="40"/>
        <v>1500</v>
      </c>
      <c r="D218" s="11">
        <f t="shared" ca="1" si="41"/>
        <v>0.44651857827812347</v>
      </c>
      <c r="E218" s="11">
        <f t="shared" ca="1" si="42"/>
        <v>1200</v>
      </c>
      <c r="F218" s="11">
        <f t="shared" ca="1" si="43"/>
        <v>0.20229951582220007</v>
      </c>
      <c r="G218" s="11">
        <f t="shared" ca="1" si="44"/>
        <v>1100</v>
      </c>
      <c r="H218" s="11">
        <f t="shared" ca="1" si="45"/>
        <v>1100</v>
      </c>
      <c r="I218" s="11">
        <f t="shared" ca="1" si="46"/>
        <v>0.55179336894552033</v>
      </c>
      <c r="J218" s="11">
        <f t="shared" ca="1" si="47"/>
        <v>5</v>
      </c>
      <c r="K218" s="24">
        <v>96</v>
      </c>
      <c r="L218" s="24">
        <f t="shared" ca="1" si="48"/>
        <v>50</v>
      </c>
      <c r="M218" s="24">
        <v>400</v>
      </c>
      <c r="N218" s="24">
        <v>20</v>
      </c>
      <c r="O218" s="24">
        <f t="shared" ca="1" si="49"/>
        <v>566</v>
      </c>
      <c r="P218" s="24">
        <v>236</v>
      </c>
      <c r="Q218" s="11">
        <f t="shared" ca="1" si="50"/>
        <v>50</v>
      </c>
      <c r="R218" s="24">
        <v>200</v>
      </c>
      <c r="S218" s="24">
        <v>10</v>
      </c>
      <c r="T218" s="24">
        <f t="shared" ca="1" si="51"/>
        <v>496</v>
      </c>
    </row>
    <row r="219" spans="1:20" x14ac:dyDescent="0.45">
      <c r="A219" s="11">
        <v>206</v>
      </c>
      <c r="B219" s="11">
        <f t="shared" ca="1" si="39"/>
        <v>0.84016238420216394</v>
      </c>
      <c r="C219" s="11">
        <f t="shared" ca="1" si="40"/>
        <v>1700</v>
      </c>
      <c r="D219" s="11">
        <f t="shared" ca="1" si="41"/>
        <v>0.51268574855824456</v>
      </c>
      <c r="E219" s="11">
        <f t="shared" ca="1" si="42"/>
        <v>1300</v>
      </c>
      <c r="F219" s="11">
        <f t="shared" ca="1" si="43"/>
        <v>0.41969481156002764</v>
      </c>
      <c r="G219" s="11">
        <f t="shared" ca="1" si="44"/>
        <v>1200</v>
      </c>
      <c r="H219" s="11">
        <f t="shared" ca="1" si="45"/>
        <v>1200</v>
      </c>
      <c r="I219" s="11">
        <f t="shared" ca="1" si="46"/>
        <v>0.73310855376272732</v>
      </c>
      <c r="J219" s="11">
        <f t="shared" ca="1" si="47"/>
        <v>10</v>
      </c>
      <c r="K219" s="24">
        <v>96</v>
      </c>
      <c r="L219" s="24">
        <f t="shared" ca="1" si="48"/>
        <v>100</v>
      </c>
      <c r="M219" s="24">
        <v>400</v>
      </c>
      <c r="N219" s="24">
        <v>20</v>
      </c>
      <c r="O219" s="24">
        <f t="shared" ca="1" si="49"/>
        <v>616</v>
      </c>
      <c r="P219" s="24">
        <v>237</v>
      </c>
      <c r="Q219" s="11">
        <f t="shared" ca="1" si="50"/>
        <v>100</v>
      </c>
      <c r="R219" s="24">
        <v>200</v>
      </c>
      <c r="S219" s="24">
        <v>10</v>
      </c>
      <c r="T219" s="24">
        <f t="shared" ca="1" si="51"/>
        <v>547</v>
      </c>
    </row>
    <row r="220" spans="1:20" x14ac:dyDescent="0.45">
      <c r="A220" s="11">
        <v>207</v>
      </c>
      <c r="B220" s="11">
        <f t="shared" ca="1" si="39"/>
        <v>0.52900934578185643</v>
      </c>
      <c r="C220" s="11">
        <f t="shared" ca="1" si="40"/>
        <v>1300</v>
      </c>
      <c r="D220" s="11">
        <f t="shared" ca="1" si="41"/>
        <v>0.91647201546760515</v>
      </c>
      <c r="E220" s="11">
        <f t="shared" ca="1" si="42"/>
        <v>1800</v>
      </c>
      <c r="F220" s="11">
        <f t="shared" ca="1" si="43"/>
        <v>0.18171718678279136</v>
      </c>
      <c r="G220" s="11">
        <f t="shared" ca="1" si="44"/>
        <v>1100</v>
      </c>
      <c r="H220" s="11">
        <f t="shared" ca="1" si="45"/>
        <v>1100</v>
      </c>
      <c r="I220" s="11">
        <f t="shared" ca="1" si="46"/>
        <v>0.45728072727995717</v>
      </c>
      <c r="J220" s="11">
        <f t="shared" ca="1" si="47"/>
        <v>5</v>
      </c>
      <c r="K220" s="24">
        <v>96</v>
      </c>
      <c r="L220" s="24">
        <f t="shared" ca="1" si="48"/>
        <v>50</v>
      </c>
      <c r="M220" s="24">
        <v>400</v>
      </c>
      <c r="N220" s="24">
        <v>20</v>
      </c>
      <c r="O220" s="24">
        <f t="shared" ca="1" si="49"/>
        <v>566</v>
      </c>
      <c r="P220" s="24">
        <v>238</v>
      </c>
      <c r="Q220" s="11">
        <f t="shared" ca="1" si="50"/>
        <v>50</v>
      </c>
      <c r="R220" s="24">
        <v>200</v>
      </c>
      <c r="S220" s="24">
        <v>10</v>
      </c>
      <c r="T220" s="24">
        <f t="shared" ca="1" si="51"/>
        <v>498</v>
      </c>
    </row>
    <row r="221" spans="1:20" x14ac:dyDescent="0.45">
      <c r="A221" s="11">
        <v>208</v>
      </c>
      <c r="B221" s="11">
        <f t="shared" ca="1" si="39"/>
        <v>0.42273377451446259</v>
      </c>
      <c r="C221" s="11">
        <f t="shared" ca="1" si="40"/>
        <v>1200</v>
      </c>
      <c r="D221" s="11">
        <f t="shared" ca="1" si="41"/>
        <v>0.50583860424714766</v>
      </c>
      <c r="E221" s="11">
        <f t="shared" ca="1" si="42"/>
        <v>1300</v>
      </c>
      <c r="F221" s="11">
        <f t="shared" ca="1" si="43"/>
        <v>0.69787860984169503</v>
      </c>
      <c r="G221" s="11">
        <f t="shared" ca="1" si="44"/>
        <v>1400</v>
      </c>
      <c r="H221" s="11">
        <f t="shared" ca="1" si="45"/>
        <v>1200</v>
      </c>
      <c r="I221" s="11">
        <f t="shared" ca="1" si="46"/>
        <v>0.67765210940671405</v>
      </c>
      <c r="J221" s="11">
        <f t="shared" ca="1" si="47"/>
        <v>10</v>
      </c>
      <c r="K221" s="24">
        <v>96</v>
      </c>
      <c r="L221" s="24">
        <f t="shared" ca="1" si="48"/>
        <v>100</v>
      </c>
      <c r="M221" s="24">
        <v>400</v>
      </c>
      <c r="N221" s="24">
        <v>20</v>
      </c>
      <c r="O221" s="24">
        <f t="shared" ca="1" si="49"/>
        <v>616</v>
      </c>
      <c r="P221" s="24">
        <v>239</v>
      </c>
      <c r="Q221" s="11">
        <f t="shared" ca="1" si="50"/>
        <v>100</v>
      </c>
      <c r="R221" s="24">
        <v>200</v>
      </c>
      <c r="S221" s="24">
        <v>10</v>
      </c>
      <c r="T221" s="24">
        <f t="shared" ca="1" si="51"/>
        <v>549</v>
      </c>
    </row>
    <row r="222" spans="1:20" x14ac:dyDescent="0.45">
      <c r="A222" s="11">
        <v>209</v>
      </c>
      <c r="B222" s="11">
        <f t="shared" ca="1" si="39"/>
        <v>3.5776218970330453E-2</v>
      </c>
      <c r="C222" s="11">
        <f t="shared" ca="1" si="40"/>
        <v>1000</v>
      </c>
      <c r="D222" s="11">
        <f t="shared" ca="1" si="41"/>
        <v>0.61215675244800849</v>
      </c>
      <c r="E222" s="11">
        <f t="shared" ca="1" si="42"/>
        <v>1400</v>
      </c>
      <c r="F222" s="11">
        <f t="shared" ca="1" si="43"/>
        <v>7.6643112180146522E-2</v>
      </c>
      <c r="G222" s="11">
        <f t="shared" ca="1" si="44"/>
        <v>1000</v>
      </c>
      <c r="H222" s="11">
        <f t="shared" ca="1" si="45"/>
        <v>1000</v>
      </c>
      <c r="I222" s="11">
        <f t="shared" ca="1" si="46"/>
        <v>0.63640919337415358</v>
      </c>
      <c r="J222" s="11">
        <f t="shared" ca="1" si="47"/>
        <v>10</v>
      </c>
      <c r="K222" s="24">
        <v>96</v>
      </c>
      <c r="L222" s="24">
        <f t="shared" ca="1" si="48"/>
        <v>100</v>
      </c>
      <c r="M222" s="24">
        <v>400</v>
      </c>
      <c r="N222" s="24">
        <v>20</v>
      </c>
      <c r="O222" s="24">
        <f t="shared" ca="1" si="49"/>
        <v>616</v>
      </c>
      <c r="P222" s="24">
        <v>240</v>
      </c>
      <c r="Q222" s="11">
        <f t="shared" ca="1" si="50"/>
        <v>100</v>
      </c>
      <c r="R222" s="24">
        <v>200</v>
      </c>
      <c r="S222" s="24">
        <v>10</v>
      </c>
      <c r="T222" s="24">
        <f t="shared" ca="1" si="51"/>
        <v>550</v>
      </c>
    </row>
    <row r="223" spans="1:20" x14ac:dyDescent="0.45">
      <c r="A223" s="11">
        <v>210</v>
      </c>
      <c r="B223" s="11">
        <f t="shared" ca="1" si="39"/>
        <v>0.3371293458533321</v>
      </c>
      <c r="C223" s="11">
        <f t="shared" ca="1" si="40"/>
        <v>1200</v>
      </c>
      <c r="D223" s="11">
        <f t="shared" ca="1" si="41"/>
        <v>0.88919080321738919</v>
      </c>
      <c r="E223" s="11">
        <f t="shared" ca="1" si="42"/>
        <v>1700</v>
      </c>
      <c r="F223" s="11">
        <f t="shared" ca="1" si="43"/>
        <v>0.94938885466656986</v>
      </c>
      <c r="G223" s="11">
        <f t="shared" ca="1" si="44"/>
        <v>1800</v>
      </c>
      <c r="H223" s="11">
        <f t="shared" ca="1" si="45"/>
        <v>1200</v>
      </c>
      <c r="I223" s="11">
        <f t="shared" ca="1" si="46"/>
        <v>0.69632109365994344</v>
      </c>
      <c r="J223" s="11">
        <f t="shared" ca="1" si="47"/>
        <v>10</v>
      </c>
      <c r="K223" s="24">
        <v>96</v>
      </c>
      <c r="L223" s="24">
        <f t="shared" ca="1" si="48"/>
        <v>100</v>
      </c>
      <c r="M223" s="24">
        <v>400</v>
      </c>
      <c r="N223" s="24">
        <v>20</v>
      </c>
      <c r="O223" s="24">
        <f t="shared" ca="1" si="49"/>
        <v>616</v>
      </c>
      <c r="P223" s="24">
        <v>241</v>
      </c>
      <c r="Q223" s="11">
        <f t="shared" ca="1" si="50"/>
        <v>100</v>
      </c>
      <c r="R223" s="24">
        <v>200</v>
      </c>
      <c r="S223" s="24">
        <v>10</v>
      </c>
      <c r="T223" s="24">
        <f t="shared" ca="1" si="51"/>
        <v>551</v>
      </c>
    </row>
    <row r="224" spans="1:20" x14ac:dyDescent="0.45">
      <c r="A224" s="11">
        <v>211</v>
      </c>
      <c r="B224" s="11">
        <f t="shared" ca="1" si="39"/>
        <v>8.8824887667529273E-2</v>
      </c>
      <c r="C224" s="11">
        <f t="shared" ca="1" si="40"/>
        <v>1000</v>
      </c>
      <c r="D224" s="11">
        <f t="shared" ca="1" si="41"/>
        <v>0.50590408698757705</v>
      </c>
      <c r="E224" s="11">
        <f t="shared" ca="1" si="42"/>
        <v>1300</v>
      </c>
      <c r="F224" s="11">
        <f t="shared" ca="1" si="43"/>
        <v>0.29992800034522515</v>
      </c>
      <c r="G224" s="11">
        <f t="shared" ca="1" si="44"/>
        <v>1200</v>
      </c>
      <c r="H224" s="11">
        <f t="shared" ca="1" si="45"/>
        <v>1000</v>
      </c>
      <c r="I224" s="11">
        <f t="shared" ca="1" si="46"/>
        <v>0.57175211630760114</v>
      </c>
      <c r="J224" s="11">
        <f t="shared" ca="1" si="47"/>
        <v>5</v>
      </c>
      <c r="K224" s="24">
        <v>96</v>
      </c>
      <c r="L224" s="24">
        <f t="shared" ca="1" si="48"/>
        <v>50</v>
      </c>
      <c r="M224" s="24">
        <v>400</v>
      </c>
      <c r="N224" s="24">
        <v>20</v>
      </c>
      <c r="O224" s="24">
        <f t="shared" ca="1" si="49"/>
        <v>566</v>
      </c>
      <c r="P224" s="24">
        <v>242</v>
      </c>
      <c r="Q224" s="11">
        <f t="shared" ca="1" si="50"/>
        <v>50</v>
      </c>
      <c r="R224" s="24">
        <v>200</v>
      </c>
      <c r="S224" s="24">
        <v>10</v>
      </c>
      <c r="T224" s="24">
        <f t="shared" ca="1" si="51"/>
        <v>502</v>
      </c>
    </row>
    <row r="225" spans="1:20" x14ac:dyDescent="0.45">
      <c r="A225" s="11">
        <v>212</v>
      </c>
      <c r="B225" s="11">
        <f t="shared" ca="1" si="39"/>
        <v>0.2622600849225255</v>
      </c>
      <c r="C225" s="11">
        <f t="shared" ca="1" si="40"/>
        <v>1200</v>
      </c>
      <c r="D225" s="11">
        <f t="shared" ca="1" si="41"/>
        <v>2.9465479841427666E-2</v>
      </c>
      <c r="E225" s="11">
        <f t="shared" ca="1" si="42"/>
        <v>1000</v>
      </c>
      <c r="F225" s="11">
        <f t="shared" ca="1" si="43"/>
        <v>0.21424133605244378</v>
      </c>
      <c r="G225" s="11">
        <f t="shared" ca="1" si="44"/>
        <v>1100</v>
      </c>
      <c r="H225" s="11">
        <f t="shared" ca="1" si="45"/>
        <v>1000</v>
      </c>
      <c r="I225" s="11">
        <f t="shared" ca="1" si="46"/>
        <v>0.75904819183298788</v>
      </c>
      <c r="J225" s="11">
        <f t="shared" ca="1" si="47"/>
        <v>10</v>
      </c>
      <c r="K225" s="24">
        <v>96</v>
      </c>
      <c r="L225" s="24">
        <f t="shared" ca="1" si="48"/>
        <v>100</v>
      </c>
      <c r="M225" s="24">
        <v>400</v>
      </c>
      <c r="N225" s="24">
        <v>20</v>
      </c>
      <c r="O225" s="24">
        <f t="shared" ca="1" si="49"/>
        <v>616</v>
      </c>
      <c r="P225" s="24">
        <v>243</v>
      </c>
      <c r="Q225" s="11">
        <f t="shared" ca="1" si="50"/>
        <v>100</v>
      </c>
      <c r="R225" s="24">
        <v>200</v>
      </c>
      <c r="S225" s="24">
        <v>10</v>
      </c>
      <c r="T225" s="24">
        <f t="shared" ca="1" si="51"/>
        <v>553</v>
      </c>
    </row>
    <row r="226" spans="1:20" x14ac:dyDescent="0.45">
      <c r="A226" s="11">
        <v>213</v>
      </c>
      <c r="B226" s="11">
        <f t="shared" ca="1" si="39"/>
        <v>0.16149127908692051</v>
      </c>
      <c r="C226" s="11">
        <f t="shared" ca="1" si="40"/>
        <v>1100</v>
      </c>
      <c r="D226" s="11">
        <f t="shared" ca="1" si="41"/>
        <v>0.6896331779401651</v>
      </c>
      <c r="E226" s="11">
        <f t="shared" ca="1" si="42"/>
        <v>1400</v>
      </c>
      <c r="F226" s="11">
        <f t="shared" ca="1" si="43"/>
        <v>0.56653190823229937</v>
      </c>
      <c r="G226" s="11">
        <f t="shared" ca="1" si="44"/>
        <v>1300</v>
      </c>
      <c r="H226" s="11">
        <f t="shared" ca="1" si="45"/>
        <v>1100</v>
      </c>
      <c r="I226" s="11">
        <f t="shared" ca="1" si="46"/>
        <v>0.35908052241886901</v>
      </c>
      <c r="J226" s="11">
        <f t="shared" ca="1" si="47"/>
        <v>5</v>
      </c>
      <c r="K226" s="24">
        <v>96</v>
      </c>
      <c r="L226" s="24">
        <f t="shared" ca="1" si="48"/>
        <v>50</v>
      </c>
      <c r="M226" s="24">
        <v>400</v>
      </c>
      <c r="N226" s="24">
        <v>20</v>
      </c>
      <c r="O226" s="24">
        <f t="shared" ca="1" si="49"/>
        <v>566</v>
      </c>
      <c r="P226" s="24">
        <v>244</v>
      </c>
      <c r="Q226" s="11">
        <f t="shared" ca="1" si="50"/>
        <v>50</v>
      </c>
      <c r="R226" s="24">
        <v>200</v>
      </c>
      <c r="S226" s="24">
        <v>10</v>
      </c>
      <c r="T226" s="24">
        <f t="shared" ca="1" si="51"/>
        <v>504</v>
      </c>
    </row>
    <row r="227" spans="1:20" x14ac:dyDescent="0.45">
      <c r="A227" s="11">
        <v>214</v>
      </c>
      <c r="B227" s="11">
        <f t="shared" ca="1" si="39"/>
        <v>0.43316805823615567</v>
      </c>
      <c r="C227" s="11">
        <f t="shared" ca="1" si="40"/>
        <v>1200</v>
      </c>
      <c r="D227" s="11">
        <f t="shared" ca="1" si="41"/>
        <v>0.28551710913127948</v>
      </c>
      <c r="E227" s="11">
        <f t="shared" ca="1" si="42"/>
        <v>1200</v>
      </c>
      <c r="F227" s="11">
        <f t="shared" ca="1" si="43"/>
        <v>0.15690317288906863</v>
      </c>
      <c r="G227" s="11">
        <f t="shared" ca="1" si="44"/>
        <v>1100</v>
      </c>
      <c r="H227" s="11">
        <f t="shared" ca="1" si="45"/>
        <v>1100</v>
      </c>
      <c r="I227" s="11">
        <f t="shared" ca="1" si="46"/>
        <v>0.51862587606766497</v>
      </c>
      <c r="J227" s="11">
        <f t="shared" ca="1" si="47"/>
        <v>5</v>
      </c>
      <c r="K227" s="24">
        <v>96</v>
      </c>
      <c r="L227" s="24">
        <f t="shared" ca="1" si="48"/>
        <v>50</v>
      </c>
      <c r="M227" s="24">
        <v>400</v>
      </c>
      <c r="N227" s="24">
        <v>20</v>
      </c>
      <c r="O227" s="24">
        <f t="shared" ca="1" si="49"/>
        <v>566</v>
      </c>
      <c r="P227" s="24">
        <v>245</v>
      </c>
      <c r="Q227" s="11">
        <f t="shared" ca="1" si="50"/>
        <v>50</v>
      </c>
      <c r="R227" s="24">
        <v>200</v>
      </c>
      <c r="S227" s="24">
        <v>10</v>
      </c>
      <c r="T227" s="24">
        <f t="shared" ca="1" si="51"/>
        <v>505</v>
      </c>
    </row>
    <row r="228" spans="1:20" x14ac:dyDescent="0.45">
      <c r="A228" s="11">
        <v>215</v>
      </c>
      <c r="B228" s="11">
        <f t="shared" ca="1" si="39"/>
        <v>0.84194148167037408</v>
      </c>
      <c r="C228" s="11">
        <f t="shared" ca="1" si="40"/>
        <v>1700</v>
      </c>
      <c r="D228" s="11">
        <f t="shared" ca="1" si="41"/>
        <v>0.15469508273512012</v>
      </c>
      <c r="E228" s="11">
        <f t="shared" ca="1" si="42"/>
        <v>1100</v>
      </c>
      <c r="F228" s="11">
        <f t="shared" ca="1" si="43"/>
        <v>0.70560519197277705</v>
      </c>
      <c r="G228" s="11">
        <f t="shared" ca="1" si="44"/>
        <v>1500</v>
      </c>
      <c r="H228" s="11">
        <f t="shared" ca="1" si="45"/>
        <v>1100</v>
      </c>
      <c r="I228" s="11">
        <f t="shared" ca="1" si="46"/>
        <v>0.64066068273390353</v>
      </c>
      <c r="J228" s="11">
        <f t="shared" ca="1" si="47"/>
        <v>10</v>
      </c>
      <c r="K228" s="24">
        <v>96</v>
      </c>
      <c r="L228" s="24">
        <f t="shared" ca="1" si="48"/>
        <v>100</v>
      </c>
      <c r="M228" s="24">
        <v>400</v>
      </c>
      <c r="N228" s="24">
        <v>20</v>
      </c>
      <c r="O228" s="24">
        <f t="shared" ca="1" si="49"/>
        <v>616</v>
      </c>
      <c r="P228" s="24">
        <v>246</v>
      </c>
      <c r="Q228" s="11">
        <f t="shared" ca="1" si="50"/>
        <v>100</v>
      </c>
      <c r="R228" s="24">
        <v>200</v>
      </c>
      <c r="S228" s="24">
        <v>10</v>
      </c>
      <c r="T228" s="24">
        <f t="shared" ca="1" si="51"/>
        <v>556</v>
      </c>
    </row>
    <row r="229" spans="1:20" x14ac:dyDescent="0.45">
      <c r="A229" s="11">
        <v>216</v>
      </c>
      <c r="B229" s="11">
        <f t="shared" ca="1" si="39"/>
        <v>9.1403486063946326E-2</v>
      </c>
      <c r="C229" s="11">
        <f t="shared" ca="1" si="40"/>
        <v>1000</v>
      </c>
      <c r="D229" s="11">
        <f t="shared" ca="1" si="41"/>
        <v>0.17959340098683785</v>
      </c>
      <c r="E229" s="11">
        <f t="shared" ca="1" si="42"/>
        <v>1100</v>
      </c>
      <c r="F229" s="11">
        <f t="shared" ca="1" si="43"/>
        <v>0.19233365517873113</v>
      </c>
      <c r="G229" s="11">
        <f t="shared" ca="1" si="44"/>
        <v>1100</v>
      </c>
      <c r="H229" s="11">
        <f t="shared" ca="1" si="45"/>
        <v>1000</v>
      </c>
      <c r="I229" s="11">
        <f t="shared" ca="1" si="46"/>
        <v>0.81110653352607276</v>
      </c>
      <c r="J229" s="11">
        <f t="shared" ca="1" si="47"/>
        <v>10</v>
      </c>
      <c r="K229" s="24">
        <v>96</v>
      </c>
      <c r="L229" s="24">
        <f t="shared" ca="1" si="48"/>
        <v>100</v>
      </c>
      <c r="M229" s="24">
        <v>400</v>
      </c>
      <c r="N229" s="24">
        <v>20</v>
      </c>
      <c r="O229" s="24">
        <f t="shared" ca="1" si="49"/>
        <v>616</v>
      </c>
      <c r="P229" s="24">
        <v>247</v>
      </c>
      <c r="Q229" s="11">
        <f t="shared" ca="1" si="50"/>
        <v>100</v>
      </c>
      <c r="R229" s="24">
        <v>200</v>
      </c>
      <c r="S229" s="24">
        <v>10</v>
      </c>
      <c r="T229" s="24">
        <f t="shared" ca="1" si="51"/>
        <v>557</v>
      </c>
    </row>
    <row r="230" spans="1:20" x14ac:dyDescent="0.45">
      <c r="A230" s="11">
        <v>217</v>
      </c>
      <c r="B230" s="11">
        <f t="shared" ca="1" si="39"/>
        <v>0.97965480879297762</v>
      </c>
      <c r="C230" s="11">
        <f t="shared" ca="1" si="40"/>
        <v>1900</v>
      </c>
      <c r="D230" s="11">
        <f t="shared" ca="1" si="41"/>
        <v>6.6744803551971432E-2</v>
      </c>
      <c r="E230" s="11">
        <f t="shared" ca="1" si="42"/>
        <v>1000</v>
      </c>
      <c r="F230" s="11">
        <f t="shared" ca="1" si="43"/>
        <v>0.40981833043425209</v>
      </c>
      <c r="G230" s="11">
        <f t="shared" ca="1" si="44"/>
        <v>1200</v>
      </c>
      <c r="H230" s="11">
        <f t="shared" ca="1" si="45"/>
        <v>1000</v>
      </c>
      <c r="I230" s="11">
        <f t="shared" ca="1" si="46"/>
        <v>0.2183737102744765</v>
      </c>
      <c r="J230" s="11">
        <f t="shared" ca="1" si="47"/>
        <v>5</v>
      </c>
      <c r="K230" s="24">
        <v>96</v>
      </c>
      <c r="L230" s="24">
        <f t="shared" ca="1" si="48"/>
        <v>50</v>
      </c>
      <c r="M230" s="24">
        <v>400</v>
      </c>
      <c r="N230" s="24">
        <v>20</v>
      </c>
      <c r="O230" s="24">
        <f t="shared" ca="1" si="49"/>
        <v>566</v>
      </c>
      <c r="P230" s="24">
        <v>248</v>
      </c>
      <c r="Q230" s="11">
        <f t="shared" ca="1" si="50"/>
        <v>50</v>
      </c>
      <c r="R230" s="24">
        <v>200</v>
      </c>
      <c r="S230" s="24">
        <v>10</v>
      </c>
      <c r="T230" s="24">
        <f t="shared" ca="1" si="51"/>
        <v>508</v>
      </c>
    </row>
    <row r="231" spans="1:20" x14ac:dyDescent="0.45">
      <c r="A231" s="11">
        <v>218</v>
      </c>
      <c r="B231" s="11">
        <f t="shared" ca="1" si="39"/>
        <v>0.45175385502041232</v>
      </c>
      <c r="C231" s="11">
        <f t="shared" ca="1" si="40"/>
        <v>1200</v>
      </c>
      <c r="D231" s="11">
        <f t="shared" ca="1" si="41"/>
        <v>0.62435444220570036</v>
      </c>
      <c r="E231" s="11">
        <f t="shared" ca="1" si="42"/>
        <v>1400</v>
      </c>
      <c r="F231" s="11">
        <f t="shared" ca="1" si="43"/>
        <v>0.57856151961196511</v>
      </c>
      <c r="G231" s="11">
        <f t="shared" ca="1" si="44"/>
        <v>1300</v>
      </c>
      <c r="H231" s="11">
        <f t="shared" ca="1" si="45"/>
        <v>1200</v>
      </c>
      <c r="I231" s="11">
        <f t="shared" ca="1" si="46"/>
        <v>0.51382762359585432</v>
      </c>
      <c r="J231" s="11">
        <f t="shared" ca="1" si="47"/>
        <v>5</v>
      </c>
      <c r="K231" s="24">
        <v>96</v>
      </c>
      <c r="L231" s="24">
        <f t="shared" ca="1" si="48"/>
        <v>50</v>
      </c>
      <c r="M231" s="24">
        <v>400</v>
      </c>
      <c r="N231" s="24">
        <v>20</v>
      </c>
      <c r="O231" s="24">
        <f t="shared" ca="1" si="49"/>
        <v>566</v>
      </c>
      <c r="P231" s="24">
        <v>249</v>
      </c>
      <c r="Q231" s="11">
        <f t="shared" ca="1" si="50"/>
        <v>50</v>
      </c>
      <c r="R231" s="24">
        <v>200</v>
      </c>
      <c r="S231" s="24">
        <v>10</v>
      </c>
      <c r="T231" s="24">
        <f t="shared" ca="1" si="51"/>
        <v>509</v>
      </c>
    </row>
    <row r="232" spans="1:20" x14ac:dyDescent="0.45">
      <c r="A232" s="11">
        <v>219</v>
      </c>
      <c r="B232" s="11">
        <f t="shared" ca="1" si="39"/>
        <v>0.51331941608674869</v>
      </c>
      <c r="C232" s="11">
        <f t="shared" ca="1" si="40"/>
        <v>1300</v>
      </c>
      <c r="D232" s="11">
        <f t="shared" ca="1" si="41"/>
        <v>0.69772759260880091</v>
      </c>
      <c r="E232" s="11">
        <f t="shared" ca="1" si="42"/>
        <v>1400</v>
      </c>
      <c r="F232" s="11">
        <f t="shared" ca="1" si="43"/>
        <v>0.52306912176193521</v>
      </c>
      <c r="G232" s="11">
        <f t="shared" ca="1" si="44"/>
        <v>1300</v>
      </c>
      <c r="H232" s="11">
        <f t="shared" ca="1" si="45"/>
        <v>1300</v>
      </c>
      <c r="I232" s="11">
        <f t="shared" ca="1" si="46"/>
        <v>0.31598997639463777</v>
      </c>
      <c r="J232" s="11">
        <f t="shared" ca="1" si="47"/>
        <v>5</v>
      </c>
      <c r="K232" s="24">
        <v>96</v>
      </c>
      <c r="L232" s="24">
        <f t="shared" ca="1" si="48"/>
        <v>50</v>
      </c>
      <c r="M232" s="24">
        <v>400</v>
      </c>
      <c r="N232" s="24">
        <v>20</v>
      </c>
      <c r="O232" s="24">
        <f t="shared" ca="1" si="49"/>
        <v>566</v>
      </c>
      <c r="P232" s="24">
        <v>250</v>
      </c>
      <c r="Q232" s="11">
        <f t="shared" ca="1" si="50"/>
        <v>50</v>
      </c>
      <c r="R232" s="24">
        <v>200</v>
      </c>
      <c r="S232" s="24">
        <v>10</v>
      </c>
      <c r="T232" s="24">
        <f t="shared" ca="1" si="51"/>
        <v>510</v>
      </c>
    </row>
    <row r="233" spans="1:20" x14ac:dyDescent="0.45">
      <c r="A233" s="11">
        <v>220</v>
      </c>
      <c r="B233" s="11">
        <f t="shared" ca="1" si="39"/>
        <v>0.62078430042853994</v>
      </c>
      <c r="C233" s="11">
        <f t="shared" ca="1" si="40"/>
        <v>1400</v>
      </c>
      <c r="D233" s="11">
        <f t="shared" ca="1" si="41"/>
        <v>0.76813158814665738</v>
      </c>
      <c r="E233" s="11">
        <f t="shared" ca="1" si="42"/>
        <v>1500</v>
      </c>
      <c r="F233" s="11">
        <f t="shared" ca="1" si="43"/>
        <v>0.79930804010671064</v>
      </c>
      <c r="G233" s="11">
        <f t="shared" ca="1" si="44"/>
        <v>1500</v>
      </c>
      <c r="H233" s="11">
        <f t="shared" ca="1" si="45"/>
        <v>1400</v>
      </c>
      <c r="I233" s="11">
        <f t="shared" ca="1" si="46"/>
        <v>0.48076780656037332</v>
      </c>
      <c r="J233" s="11">
        <f t="shared" ca="1" si="47"/>
        <v>5</v>
      </c>
      <c r="K233" s="24">
        <v>96</v>
      </c>
      <c r="L233" s="24">
        <f t="shared" ca="1" si="48"/>
        <v>50</v>
      </c>
      <c r="M233" s="24">
        <v>400</v>
      </c>
      <c r="N233" s="24">
        <v>20</v>
      </c>
      <c r="O233" s="24">
        <f t="shared" ca="1" si="49"/>
        <v>566</v>
      </c>
      <c r="P233" s="24">
        <v>251</v>
      </c>
      <c r="Q233" s="11">
        <f t="shared" ca="1" si="50"/>
        <v>50</v>
      </c>
      <c r="R233" s="24">
        <v>200</v>
      </c>
      <c r="S233" s="24">
        <v>10</v>
      </c>
      <c r="T233" s="24">
        <f t="shared" ca="1" si="51"/>
        <v>511</v>
      </c>
    </row>
    <row r="234" spans="1:20" x14ac:dyDescent="0.45">
      <c r="A234" s="11">
        <v>221</v>
      </c>
      <c r="B234" s="11">
        <f t="shared" ca="1" si="39"/>
        <v>0.18517297199555827</v>
      </c>
      <c r="C234" s="11">
        <f t="shared" ca="1" si="40"/>
        <v>1100</v>
      </c>
      <c r="D234" s="11">
        <f t="shared" ca="1" si="41"/>
        <v>0.55143160069362929</v>
      </c>
      <c r="E234" s="11">
        <f t="shared" ca="1" si="42"/>
        <v>1300</v>
      </c>
      <c r="F234" s="11">
        <f t="shared" ca="1" si="43"/>
        <v>0.46349018528779184</v>
      </c>
      <c r="G234" s="11">
        <f t="shared" ca="1" si="44"/>
        <v>1200</v>
      </c>
      <c r="H234" s="11">
        <f t="shared" ca="1" si="45"/>
        <v>1100</v>
      </c>
      <c r="I234" s="11">
        <f t="shared" ca="1" si="46"/>
        <v>0.28145323436196157</v>
      </c>
      <c r="J234" s="11">
        <f t="shared" ca="1" si="47"/>
        <v>5</v>
      </c>
      <c r="K234" s="24">
        <v>96</v>
      </c>
      <c r="L234" s="24">
        <f t="shared" ca="1" si="48"/>
        <v>50</v>
      </c>
      <c r="M234" s="24">
        <v>400</v>
      </c>
      <c r="N234" s="24">
        <v>20</v>
      </c>
      <c r="O234" s="24">
        <f t="shared" ca="1" si="49"/>
        <v>566</v>
      </c>
      <c r="P234" s="24">
        <v>252</v>
      </c>
      <c r="Q234" s="11">
        <f t="shared" ca="1" si="50"/>
        <v>50</v>
      </c>
      <c r="R234" s="24">
        <v>200</v>
      </c>
      <c r="S234" s="24">
        <v>10</v>
      </c>
      <c r="T234" s="24">
        <f t="shared" ca="1" si="51"/>
        <v>512</v>
      </c>
    </row>
    <row r="235" spans="1:20" x14ac:dyDescent="0.45">
      <c r="A235" s="11">
        <v>222</v>
      </c>
      <c r="B235" s="11">
        <f t="shared" ca="1" si="39"/>
        <v>7.5684309834265329E-2</v>
      </c>
      <c r="C235" s="11">
        <f t="shared" ca="1" si="40"/>
        <v>1000</v>
      </c>
      <c r="D235" s="11">
        <f t="shared" ca="1" si="41"/>
        <v>7.1595343600753036E-2</v>
      </c>
      <c r="E235" s="11">
        <f t="shared" ca="1" si="42"/>
        <v>1000</v>
      </c>
      <c r="F235" s="11">
        <f t="shared" ca="1" si="43"/>
        <v>0.45208798222077251</v>
      </c>
      <c r="G235" s="11">
        <f t="shared" ca="1" si="44"/>
        <v>1200</v>
      </c>
      <c r="H235" s="11">
        <f t="shared" ca="1" si="45"/>
        <v>1000</v>
      </c>
      <c r="I235" s="11">
        <f t="shared" ca="1" si="46"/>
        <v>0.39835907518248836</v>
      </c>
      <c r="J235" s="11">
        <f t="shared" ca="1" si="47"/>
        <v>5</v>
      </c>
      <c r="K235" s="24">
        <v>96</v>
      </c>
      <c r="L235" s="24">
        <f t="shared" ca="1" si="48"/>
        <v>50</v>
      </c>
      <c r="M235" s="24">
        <v>400</v>
      </c>
      <c r="N235" s="24">
        <v>20</v>
      </c>
      <c r="O235" s="24">
        <f t="shared" ca="1" si="49"/>
        <v>566</v>
      </c>
      <c r="P235" s="24">
        <v>253</v>
      </c>
      <c r="Q235" s="11">
        <f t="shared" ca="1" si="50"/>
        <v>50</v>
      </c>
      <c r="R235" s="24">
        <v>200</v>
      </c>
      <c r="S235" s="24">
        <v>10</v>
      </c>
      <c r="T235" s="24">
        <f t="shared" ca="1" si="51"/>
        <v>513</v>
      </c>
    </row>
    <row r="236" spans="1:20" x14ac:dyDescent="0.45">
      <c r="A236" s="11">
        <v>223</v>
      </c>
      <c r="B236" s="11">
        <f t="shared" ca="1" si="39"/>
        <v>0.31014523741601052</v>
      </c>
      <c r="C236" s="11">
        <f t="shared" ca="1" si="40"/>
        <v>1200</v>
      </c>
      <c r="D236" s="11">
        <f t="shared" ca="1" si="41"/>
        <v>0.50449257518581903</v>
      </c>
      <c r="E236" s="11">
        <f t="shared" ca="1" si="42"/>
        <v>1300</v>
      </c>
      <c r="F236" s="11">
        <f t="shared" ca="1" si="43"/>
        <v>0.35614875136293134</v>
      </c>
      <c r="G236" s="11">
        <f t="shared" ca="1" si="44"/>
        <v>1200</v>
      </c>
      <c r="H236" s="11">
        <f t="shared" ca="1" si="45"/>
        <v>1200</v>
      </c>
      <c r="I236" s="11">
        <f t="shared" ca="1" si="46"/>
        <v>0.92111897073089233</v>
      </c>
      <c r="J236" s="11">
        <f t="shared" ca="1" si="47"/>
        <v>15</v>
      </c>
      <c r="K236" s="24">
        <v>96</v>
      </c>
      <c r="L236" s="24">
        <f t="shared" ca="1" si="48"/>
        <v>150</v>
      </c>
      <c r="M236" s="24">
        <v>400</v>
      </c>
      <c r="N236" s="24">
        <v>20</v>
      </c>
      <c r="O236" s="24">
        <f t="shared" ca="1" si="49"/>
        <v>666</v>
      </c>
      <c r="P236" s="24">
        <v>254</v>
      </c>
      <c r="Q236" s="11">
        <f t="shared" ca="1" si="50"/>
        <v>150</v>
      </c>
      <c r="R236" s="24">
        <v>200</v>
      </c>
      <c r="S236" s="24">
        <v>10</v>
      </c>
      <c r="T236" s="24">
        <f t="shared" ca="1" si="51"/>
        <v>614</v>
      </c>
    </row>
    <row r="237" spans="1:20" x14ac:dyDescent="0.45">
      <c r="A237" s="11">
        <v>224</v>
      </c>
      <c r="B237" s="11">
        <f t="shared" ca="1" si="39"/>
        <v>0.26768309410650459</v>
      </c>
      <c r="C237" s="11">
        <f t="shared" ca="1" si="40"/>
        <v>1200</v>
      </c>
      <c r="D237" s="11">
        <f t="shared" ca="1" si="41"/>
        <v>0.73940208917120365</v>
      </c>
      <c r="E237" s="11">
        <f t="shared" ca="1" si="42"/>
        <v>1500</v>
      </c>
      <c r="F237" s="11">
        <f t="shared" ca="1" si="43"/>
        <v>0.26388830003328767</v>
      </c>
      <c r="G237" s="11">
        <f t="shared" ca="1" si="44"/>
        <v>1200</v>
      </c>
      <c r="H237" s="11">
        <f t="shared" ca="1" si="45"/>
        <v>1200</v>
      </c>
      <c r="I237" s="11">
        <f t="shared" ca="1" si="46"/>
        <v>0.84838683679356519</v>
      </c>
      <c r="J237" s="11">
        <f t="shared" ca="1" si="47"/>
        <v>10</v>
      </c>
      <c r="K237" s="24">
        <v>96</v>
      </c>
      <c r="L237" s="24">
        <f t="shared" ca="1" si="48"/>
        <v>100</v>
      </c>
      <c r="M237" s="24">
        <v>400</v>
      </c>
      <c r="N237" s="24">
        <v>20</v>
      </c>
      <c r="O237" s="24">
        <f t="shared" ca="1" si="49"/>
        <v>616</v>
      </c>
      <c r="P237" s="24">
        <v>255</v>
      </c>
      <c r="Q237" s="11">
        <f t="shared" ca="1" si="50"/>
        <v>100</v>
      </c>
      <c r="R237" s="24">
        <v>200</v>
      </c>
      <c r="S237" s="24">
        <v>10</v>
      </c>
      <c r="T237" s="24">
        <f t="shared" ca="1" si="51"/>
        <v>565</v>
      </c>
    </row>
    <row r="238" spans="1:20" x14ac:dyDescent="0.45">
      <c r="A238" s="11">
        <v>225</v>
      </c>
      <c r="B238" s="11">
        <f t="shared" ca="1" si="39"/>
        <v>0.26057948282556542</v>
      </c>
      <c r="C238" s="11">
        <f t="shared" ca="1" si="40"/>
        <v>1200</v>
      </c>
      <c r="D238" s="11">
        <f t="shared" ca="1" si="41"/>
        <v>8.8929098234996617E-3</v>
      </c>
      <c r="E238" s="11">
        <f t="shared" ca="1" si="42"/>
        <v>1000</v>
      </c>
      <c r="F238" s="11">
        <f t="shared" ca="1" si="43"/>
        <v>0.64163866847571893</v>
      </c>
      <c r="G238" s="11">
        <f t="shared" ca="1" si="44"/>
        <v>1400</v>
      </c>
      <c r="H238" s="11">
        <f t="shared" ca="1" si="45"/>
        <v>1000</v>
      </c>
      <c r="I238" s="11">
        <f t="shared" ca="1" si="46"/>
        <v>0.36375210320288254</v>
      </c>
      <c r="J238" s="11">
        <f t="shared" ca="1" si="47"/>
        <v>5</v>
      </c>
      <c r="K238" s="24">
        <v>96</v>
      </c>
      <c r="L238" s="24">
        <f t="shared" ca="1" si="48"/>
        <v>50</v>
      </c>
      <c r="M238" s="24">
        <v>400</v>
      </c>
      <c r="N238" s="24">
        <v>20</v>
      </c>
      <c r="O238" s="24">
        <f t="shared" ca="1" si="49"/>
        <v>566</v>
      </c>
      <c r="P238" s="24">
        <v>256</v>
      </c>
      <c r="Q238" s="11">
        <f t="shared" ca="1" si="50"/>
        <v>50</v>
      </c>
      <c r="R238" s="24">
        <v>200</v>
      </c>
      <c r="S238" s="24">
        <v>10</v>
      </c>
      <c r="T238" s="24">
        <f t="shared" ca="1" si="51"/>
        <v>516</v>
      </c>
    </row>
    <row r="239" spans="1:20" x14ac:dyDescent="0.45">
      <c r="A239" s="11">
        <v>226</v>
      </c>
      <c r="B239" s="11">
        <f t="shared" ca="1" si="39"/>
        <v>0.89460851465559399</v>
      </c>
      <c r="C239" s="11">
        <f t="shared" ca="1" si="40"/>
        <v>1700</v>
      </c>
      <c r="D239" s="11">
        <f t="shared" ca="1" si="41"/>
        <v>2.5675363143951579E-2</v>
      </c>
      <c r="E239" s="11">
        <f t="shared" ca="1" si="42"/>
        <v>1000</v>
      </c>
      <c r="F239" s="11">
        <f t="shared" ca="1" si="43"/>
        <v>0.94801710527767646</v>
      </c>
      <c r="G239" s="11">
        <f t="shared" ca="1" si="44"/>
        <v>1800</v>
      </c>
      <c r="H239" s="11">
        <f t="shared" ca="1" si="45"/>
        <v>1000</v>
      </c>
      <c r="I239" s="11">
        <f t="shared" ca="1" si="46"/>
        <v>0.23965555871770605</v>
      </c>
      <c r="J239" s="11">
        <f t="shared" ca="1" si="47"/>
        <v>5</v>
      </c>
      <c r="K239" s="24">
        <v>96</v>
      </c>
      <c r="L239" s="24">
        <f t="shared" ca="1" si="48"/>
        <v>50</v>
      </c>
      <c r="M239" s="24">
        <v>400</v>
      </c>
      <c r="N239" s="24">
        <v>20</v>
      </c>
      <c r="O239" s="24">
        <f t="shared" ca="1" si="49"/>
        <v>566</v>
      </c>
      <c r="P239" s="24">
        <v>257</v>
      </c>
      <c r="Q239" s="11">
        <f t="shared" ca="1" si="50"/>
        <v>50</v>
      </c>
      <c r="R239" s="24">
        <v>200</v>
      </c>
      <c r="S239" s="24">
        <v>10</v>
      </c>
      <c r="T239" s="24">
        <f t="shared" ca="1" si="51"/>
        <v>517</v>
      </c>
    </row>
    <row r="240" spans="1:20" x14ac:dyDescent="0.45">
      <c r="A240" s="11">
        <v>227</v>
      </c>
      <c r="B240" s="11">
        <f t="shared" ca="1" si="39"/>
        <v>0.94306400663855239</v>
      </c>
      <c r="C240" s="11">
        <f t="shared" ca="1" si="40"/>
        <v>1800</v>
      </c>
      <c r="D240" s="11">
        <f t="shared" ca="1" si="41"/>
        <v>0.97292913094286315</v>
      </c>
      <c r="E240" s="11">
        <f t="shared" ca="1" si="42"/>
        <v>1900</v>
      </c>
      <c r="F240" s="11">
        <f t="shared" ca="1" si="43"/>
        <v>0.70698143562854876</v>
      </c>
      <c r="G240" s="11">
        <f t="shared" ca="1" si="44"/>
        <v>1500</v>
      </c>
      <c r="H240" s="11">
        <f t="shared" ca="1" si="45"/>
        <v>1500</v>
      </c>
      <c r="I240" s="11">
        <f t="shared" ca="1" si="46"/>
        <v>0.56649691652351719</v>
      </c>
      <c r="J240" s="11">
        <f t="shared" ca="1" si="47"/>
        <v>5</v>
      </c>
      <c r="K240" s="24">
        <v>96</v>
      </c>
      <c r="L240" s="24">
        <f t="shared" ca="1" si="48"/>
        <v>50</v>
      </c>
      <c r="M240" s="24">
        <v>400</v>
      </c>
      <c r="N240" s="24">
        <v>20</v>
      </c>
      <c r="O240" s="24">
        <f t="shared" ca="1" si="49"/>
        <v>566</v>
      </c>
      <c r="P240" s="24">
        <v>258</v>
      </c>
      <c r="Q240" s="11">
        <f t="shared" ca="1" si="50"/>
        <v>50</v>
      </c>
      <c r="R240" s="24">
        <v>200</v>
      </c>
      <c r="S240" s="24">
        <v>10</v>
      </c>
      <c r="T240" s="24">
        <f t="shared" ca="1" si="51"/>
        <v>518</v>
      </c>
    </row>
    <row r="241" spans="1:20" x14ac:dyDescent="0.45">
      <c r="A241" s="11">
        <v>228</v>
      </c>
      <c r="B241" s="11">
        <f t="shared" ca="1" si="39"/>
        <v>6.561506165531461E-2</v>
      </c>
      <c r="C241" s="11">
        <f t="shared" ca="1" si="40"/>
        <v>1000</v>
      </c>
      <c r="D241" s="11">
        <f t="shared" ca="1" si="41"/>
        <v>0.26313806570268372</v>
      </c>
      <c r="E241" s="11">
        <f t="shared" ca="1" si="42"/>
        <v>1200</v>
      </c>
      <c r="F241" s="11">
        <f t="shared" ca="1" si="43"/>
        <v>0.4875727227129163</v>
      </c>
      <c r="G241" s="11">
        <f t="shared" ca="1" si="44"/>
        <v>1300</v>
      </c>
      <c r="H241" s="11">
        <f t="shared" ca="1" si="45"/>
        <v>1000</v>
      </c>
      <c r="I241" s="11">
        <f t="shared" ca="1" si="46"/>
        <v>0.40290137393362235</v>
      </c>
      <c r="J241" s="11">
        <f t="shared" ca="1" si="47"/>
        <v>5</v>
      </c>
      <c r="K241" s="24">
        <v>96</v>
      </c>
      <c r="L241" s="24">
        <f t="shared" ca="1" si="48"/>
        <v>50</v>
      </c>
      <c r="M241" s="24">
        <v>400</v>
      </c>
      <c r="N241" s="24">
        <v>20</v>
      </c>
      <c r="O241" s="24">
        <f t="shared" ca="1" si="49"/>
        <v>566</v>
      </c>
      <c r="P241" s="24">
        <v>259</v>
      </c>
      <c r="Q241" s="11">
        <f t="shared" ca="1" si="50"/>
        <v>50</v>
      </c>
      <c r="R241" s="24">
        <v>200</v>
      </c>
      <c r="S241" s="24">
        <v>10</v>
      </c>
      <c r="T241" s="24">
        <f t="shared" ca="1" si="51"/>
        <v>519</v>
      </c>
    </row>
    <row r="242" spans="1:20" x14ac:dyDescent="0.45">
      <c r="A242" s="11">
        <v>229</v>
      </c>
      <c r="B242" s="11">
        <f t="shared" ca="1" si="39"/>
        <v>0.22057186064971146</v>
      </c>
      <c r="C242" s="11">
        <f t="shared" ca="1" si="40"/>
        <v>1100</v>
      </c>
      <c r="D242" s="11">
        <f t="shared" ca="1" si="41"/>
        <v>0.91236057995207187</v>
      </c>
      <c r="E242" s="11">
        <f t="shared" ca="1" si="42"/>
        <v>1800</v>
      </c>
      <c r="F242" s="11">
        <f t="shared" ca="1" si="43"/>
        <v>0.8451375533473755</v>
      </c>
      <c r="G242" s="11">
        <f t="shared" ca="1" si="44"/>
        <v>1700</v>
      </c>
      <c r="H242" s="11">
        <f t="shared" ca="1" si="45"/>
        <v>1100</v>
      </c>
      <c r="I242" s="11">
        <f t="shared" ca="1" si="46"/>
        <v>0.70625783854417856</v>
      </c>
      <c r="J242" s="11">
        <f t="shared" ca="1" si="47"/>
        <v>10</v>
      </c>
      <c r="K242" s="24">
        <v>96</v>
      </c>
      <c r="L242" s="24">
        <f t="shared" ca="1" si="48"/>
        <v>100</v>
      </c>
      <c r="M242" s="24">
        <v>400</v>
      </c>
      <c r="N242" s="24">
        <v>20</v>
      </c>
      <c r="O242" s="24">
        <f t="shared" ca="1" si="49"/>
        <v>616</v>
      </c>
      <c r="P242" s="24">
        <v>260</v>
      </c>
      <c r="Q242" s="11">
        <f t="shared" ca="1" si="50"/>
        <v>100</v>
      </c>
      <c r="R242" s="24">
        <v>200</v>
      </c>
      <c r="S242" s="24">
        <v>10</v>
      </c>
      <c r="T242" s="24">
        <f t="shared" ca="1" si="51"/>
        <v>570</v>
      </c>
    </row>
    <row r="243" spans="1:20" x14ac:dyDescent="0.45">
      <c r="A243" s="11">
        <v>230</v>
      </c>
      <c r="B243" s="11">
        <f t="shared" ca="1" si="39"/>
        <v>0.68431152414100083</v>
      </c>
      <c r="C243" s="11">
        <f t="shared" ca="1" si="40"/>
        <v>1400</v>
      </c>
      <c r="D243" s="11">
        <f t="shared" ca="1" si="41"/>
        <v>0.34155393616908769</v>
      </c>
      <c r="E243" s="11">
        <f t="shared" ca="1" si="42"/>
        <v>1200</v>
      </c>
      <c r="F243" s="11">
        <f t="shared" ca="1" si="43"/>
        <v>8.0768861658521929E-2</v>
      </c>
      <c r="G243" s="11">
        <f t="shared" ca="1" si="44"/>
        <v>1000</v>
      </c>
      <c r="H243" s="11">
        <f t="shared" ca="1" si="45"/>
        <v>1000</v>
      </c>
      <c r="I243" s="11">
        <f t="shared" ca="1" si="46"/>
        <v>0.64322450345382376</v>
      </c>
      <c r="J243" s="11">
        <f t="shared" ca="1" si="47"/>
        <v>10</v>
      </c>
      <c r="K243" s="24">
        <v>96</v>
      </c>
      <c r="L243" s="24">
        <f t="shared" ca="1" si="48"/>
        <v>100</v>
      </c>
      <c r="M243" s="24">
        <v>400</v>
      </c>
      <c r="N243" s="24">
        <v>20</v>
      </c>
      <c r="O243" s="24">
        <f t="shared" ca="1" si="49"/>
        <v>616</v>
      </c>
      <c r="P243" s="24">
        <v>261</v>
      </c>
      <c r="Q243" s="11">
        <f t="shared" ca="1" si="50"/>
        <v>100</v>
      </c>
      <c r="R243" s="24">
        <v>200</v>
      </c>
      <c r="S243" s="24">
        <v>10</v>
      </c>
      <c r="T243" s="24">
        <f t="shared" ca="1" si="51"/>
        <v>571</v>
      </c>
    </row>
    <row r="244" spans="1:20" x14ac:dyDescent="0.45">
      <c r="A244" s="11">
        <v>231</v>
      </c>
      <c r="B244" s="11">
        <f t="shared" ca="1" si="39"/>
        <v>0.75098167260348891</v>
      </c>
      <c r="C244" s="11">
        <f t="shared" ca="1" si="40"/>
        <v>1500</v>
      </c>
      <c r="D244" s="11">
        <f t="shared" ca="1" si="41"/>
        <v>0.9302694080780789</v>
      </c>
      <c r="E244" s="11">
        <f t="shared" ca="1" si="42"/>
        <v>1800</v>
      </c>
      <c r="F244" s="11">
        <f t="shared" ca="1" si="43"/>
        <v>0.87979949832639792</v>
      </c>
      <c r="G244" s="11">
        <f t="shared" ca="1" si="44"/>
        <v>1700</v>
      </c>
      <c r="H244" s="11">
        <f t="shared" ca="1" si="45"/>
        <v>1500</v>
      </c>
      <c r="I244" s="11">
        <f t="shared" ca="1" si="46"/>
        <v>0.98406453466031296</v>
      </c>
      <c r="J244" s="11">
        <f t="shared" ca="1" si="47"/>
        <v>15</v>
      </c>
      <c r="K244" s="24">
        <v>96</v>
      </c>
      <c r="L244" s="24">
        <f t="shared" ca="1" si="48"/>
        <v>150</v>
      </c>
      <c r="M244" s="24">
        <v>400</v>
      </c>
      <c r="N244" s="24">
        <v>20</v>
      </c>
      <c r="O244" s="24">
        <f t="shared" ca="1" si="49"/>
        <v>666</v>
      </c>
      <c r="P244" s="24">
        <v>262</v>
      </c>
      <c r="Q244" s="11">
        <f t="shared" ca="1" si="50"/>
        <v>150</v>
      </c>
      <c r="R244" s="24">
        <v>200</v>
      </c>
      <c r="S244" s="24">
        <v>10</v>
      </c>
      <c r="T244" s="24">
        <f t="shared" ca="1" si="51"/>
        <v>622</v>
      </c>
    </row>
    <row r="245" spans="1:20" x14ac:dyDescent="0.45">
      <c r="A245" s="11">
        <v>232</v>
      </c>
      <c r="B245" s="11">
        <f t="shared" ca="1" si="39"/>
        <v>0.87053525093716799</v>
      </c>
      <c r="C245" s="11">
        <f t="shared" ca="1" si="40"/>
        <v>1700</v>
      </c>
      <c r="D245" s="11">
        <f t="shared" ca="1" si="41"/>
        <v>0.95106541150523971</v>
      </c>
      <c r="E245" s="11">
        <f t="shared" ca="1" si="42"/>
        <v>1900</v>
      </c>
      <c r="F245" s="11">
        <f t="shared" ca="1" si="43"/>
        <v>0.92279974906667284</v>
      </c>
      <c r="G245" s="11">
        <f t="shared" ca="1" si="44"/>
        <v>1800</v>
      </c>
      <c r="H245" s="11">
        <f t="shared" ca="1" si="45"/>
        <v>1700</v>
      </c>
      <c r="I245" s="11">
        <f t="shared" ca="1" si="46"/>
        <v>0.63004247059710239</v>
      </c>
      <c r="J245" s="11">
        <f t="shared" ca="1" si="47"/>
        <v>10</v>
      </c>
      <c r="K245" s="24">
        <v>96</v>
      </c>
      <c r="L245" s="24">
        <f t="shared" ca="1" si="48"/>
        <v>100</v>
      </c>
      <c r="M245" s="24">
        <v>400</v>
      </c>
      <c r="N245" s="24">
        <v>20</v>
      </c>
      <c r="O245" s="24">
        <f t="shared" ca="1" si="49"/>
        <v>616</v>
      </c>
      <c r="P245" s="24">
        <v>263</v>
      </c>
      <c r="Q245" s="11">
        <f t="shared" ca="1" si="50"/>
        <v>100</v>
      </c>
      <c r="R245" s="24">
        <v>200</v>
      </c>
      <c r="S245" s="24">
        <v>10</v>
      </c>
      <c r="T245" s="24">
        <f t="shared" ca="1" si="51"/>
        <v>573</v>
      </c>
    </row>
    <row r="246" spans="1:20" x14ac:dyDescent="0.45">
      <c r="A246" s="11">
        <v>233</v>
      </c>
      <c r="B246" s="11">
        <f t="shared" ca="1" si="39"/>
        <v>0.94583890174858676</v>
      </c>
      <c r="C246" s="11">
        <f t="shared" ca="1" si="40"/>
        <v>1800</v>
      </c>
      <c r="D246" s="11">
        <f t="shared" ca="1" si="41"/>
        <v>1.0331915763019284E-2</v>
      </c>
      <c r="E246" s="11">
        <f t="shared" ca="1" si="42"/>
        <v>1000</v>
      </c>
      <c r="F246" s="11">
        <f t="shared" ca="1" si="43"/>
        <v>0.31147408324051162</v>
      </c>
      <c r="G246" s="11">
        <f t="shared" ca="1" si="44"/>
        <v>1200</v>
      </c>
      <c r="H246" s="11">
        <f t="shared" ca="1" si="45"/>
        <v>1000</v>
      </c>
      <c r="I246" s="11">
        <f t="shared" ca="1" si="46"/>
        <v>0.11461543471736713</v>
      </c>
      <c r="J246" s="11">
        <f t="shared" ca="1" si="47"/>
        <v>5</v>
      </c>
      <c r="K246" s="24">
        <v>96</v>
      </c>
      <c r="L246" s="24">
        <f t="shared" ca="1" si="48"/>
        <v>50</v>
      </c>
      <c r="M246" s="24">
        <v>400</v>
      </c>
      <c r="N246" s="24">
        <v>20</v>
      </c>
      <c r="O246" s="24">
        <f t="shared" ca="1" si="49"/>
        <v>566</v>
      </c>
      <c r="P246" s="24">
        <v>264</v>
      </c>
      <c r="Q246" s="11">
        <f t="shared" ca="1" si="50"/>
        <v>50</v>
      </c>
      <c r="R246" s="24">
        <v>200</v>
      </c>
      <c r="S246" s="24">
        <v>10</v>
      </c>
      <c r="T246" s="24">
        <f t="shared" ca="1" si="51"/>
        <v>524</v>
      </c>
    </row>
    <row r="247" spans="1:20" x14ac:dyDescent="0.45">
      <c r="A247" s="11">
        <v>234</v>
      </c>
      <c r="B247" s="11">
        <f t="shared" ca="1" si="39"/>
        <v>0.62745644295784087</v>
      </c>
      <c r="C247" s="11">
        <f t="shared" ca="1" si="40"/>
        <v>1400</v>
      </c>
      <c r="D247" s="11">
        <f t="shared" ca="1" si="41"/>
        <v>0.88461429951669091</v>
      </c>
      <c r="E247" s="11">
        <f t="shared" ca="1" si="42"/>
        <v>1700</v>
      </c>
      <c r="F247" s="11">
        <f t="shared" ca="1" si="43"/>
        <v>0.86467050365274489</v>
      </c>
      <c r="G247" s="11">
        <f t="shared" ca="1" si="44"/>
        <v>1700</v>
      </c>
      <c r="H247" s="11">
        <f t="shared" ca="1" si="45"/>
        <v>1400</v>
      </c>
      <c r="I247" s="11">
        <f t="shared" ca="1" si="46"/>
        <v>0.10475150578739256</v>
      </c>
      <c r="J247" s="11">
        <f t="shared" ca="1" si="47"/>
        <v>5</v>
      </c>
      <c r="K247" s="24">
        <v>96</v>
      </c>
      <c r="L247" s="24">
        <f t="shared" ca="1" si="48"/>
        <v>50</v>
      </c>
      <c r="M247" s="24">
        <v>400</v>
      </c>
      <c r="N247" s="24">
        <v>20</v>
      </c>
      <c r="O247" s="24">
        <f t="shared" ca="1" si="49"/>
        <v>566</v>
      </c>
      <c r="P247" s="24">
        <v>265</v>
      </c>
      <c r="Q247" s="11">
        <f t="shared" ca="1" si="50"/>
        <v>50</v>
      </c>
      <c r="R247" s="24">
        <v>200</v>
      </c>
      <c r="S247" s="24">
        <v>10</v>
      </c>
      <c r="T247" s="24">
        <f t="shared" ca="1" si="51"/>
        <v>525</v>
      </c>
    </row>
    <row r="248" spans="1:20" x14ac:dyDescent="0.45">
      <c r="A248" s="11">
        <v>235</v>
      </c>
      <c r="B248" s="11">
        <f t="shared" ca="1" si="39"/>
        <v>0.94084717855594047</v>
      </c>
      <c r="C248" s="11">
        <f t="shared" ca="1" si="40"/>
        <v>1800</v>
      </c>
      <c r="D248" s="11">
        <f t="shared" ca="1" si="41"/>
        <v>7.8676593118904181E-2</v>
      </c>
      <c r="E248" s="11">
        <f t="shared" ca="1" si="42"/>
        <v>1000</v>
      </c>
      <c r="F248" s="11">
        <f t="shared" ca="1" si="43"/>
        <v>0.17237194255013721</v>
      </c>
      <c r="G248" s="11">
        <f t="shared" ca="1" si="44"/>
        <v>1100</v>
      </c>
      <c r="H248" s="11">
        <f t="shared" ca="1" si="45"/>
        <v>1000</v>
      </c>
      <c r="I248" s="11">
        <f t="shared" ca="1" si="46"/>
        <v>6.103517677646475E-2</v>
      </c>
      <c r="J248" s="11">
        <f t="shared" ca="1" si="47"/>
        <v>5</v>
      </c>
      <c r="K248" s="24">
        <v>96</v>
      </c>
      <c r="L248" s="24">
        <f t="shared" ca="1" si="48"/>
        <v>50</v>
      </c>
      <c r="M248" s="24">
        <v>400</v>
      </c>
      <c r="N248" s="24">
        <v>20</v>
      </c>
      <c r="O248" s="24">
        <f t="shared" ca="1" si="49"/>
        <v>566</v>
      </c>
      <c r="P248" s="24">
        <v>266</v>
      </c>
      <c r="Q248" s="11">
        <f t="shared" ca="1" si="50"/>
        <v>50</v>
      </c>
      <c r="R248" s="24">
        <v>200</v>
      </c>
      <c r="S248" s="24">
        <v>10</v>
      </c>
      <c r="T248" s="24">
        <f t="shared" ca="1" si="51"/>
        <v>526</v>
      </c>
    </row>
    <row r="249" spans="1:20" x14ac:dyDescent="0.45">
      <c r="A249" s="11">
        <v>236</v>
      </c>
      <c r="B249" s="11">
        <f t="shared" ca="1" si="39"/>
        <v>0.67641528644465077</v>
      </c>
      <c r="C249" s="11">
        <f t="shared" ca="1" si="40"/>
        <v>1400</v>
      </c>
      <c r="D249" s="11">
        <f t="shared" ca="1" si="41"/>
        <v>0.84373516326974785</v>
      </c>
      <c r="E249" s="11">
        <f t="shared" ca="1" si="42"/>
        <v>1700</v>
      </c>
      <c r="F249" s="11">
        <f t="shared" ca="1" si="43"/>
        <v>0.80585248737787529</v>
      </c>
      <c r="G249" s="11">
        <f t="shared" ca="1" si="44"/>
        <v>1500</v>
      </c>
      <c r="H249" s="11">
        <f t="shared" ca="1" si="45"/>
        <v>1400</v>
      </c>
      <c r="I249" s="11">
        <f t="shared" ca="1" si="46"/>
        <v>0.33151606098249886</v>
      </c>
      <c r="J249" s="11">
        <f t="shared" ca="1" si="47"/>
        <v>5</v>
      </c>
      <c r="K249" s="24">
        <v>96</v>
      </c>
      <c r="L249" s="24">
        <f t="shared" ca="1" si="48"/>
        <v>50</v>
      </c>
      <c r="M249" s="24">
        <v>400</v>
      </c>
      <c r="N249" s="24">
        <v>20</v>
      </c>
      <c r="O249" s="24">
        <f t="shared" ca="1" si="49"/>
        <v>566</v>
      </c>
      <c r="P249" s="24">
        <v>267</v>
      </c>
      <c r="Q249" s="11">
        <f t="shared" ca="1" si="50"/>
        <v>50</v>
      </c>
      <c r="R249" s="24">
        <v>200</v>
      </c>
      <c r="S249" s="24">
        <v>10</v>
      </c>
      <c r="T249" s="24">
        <f t="shared" ca="1" si="51"/>
        <v>527</v>
      </c>
    </row>
    <row r="250" spans="1:20" x14ac:dyDescent="0.45">
      <c r="A250" s="11">
        <v>237</v>
      </c>
      <c r="B250" s="11">
        <f t="shared" ca="1" si="39"/>
        <v>0.34588926202747472</v>
      </c>
      <c r="C250" s="11">
        <f t="shared" ca="1" si="40"/>
        <v>1200</v>
      </c>
      <c r="D250" s="11">
        <f t="shared" ca="1" si="41"/>
        <v>0.6566016705832961</v>
      </c>
      <c r="E250" s="11">
        <f t="shared" ca="1" si="42"/>
        <v>1400</v>
      </c>
      <c r="F250" s="11">
        <f t="shared" ca="1" si="43"/>
        <v>0.47934939842598412</v>
      </c>
      <c r="G250" s="11">
        <f t="shared" ca="1" si="44"/>
        <v>1200</v>
      </c>
      <c r="H250" s="11">
        <f t="shared" ca="1" si="45"/>
        <v>1200</v>
      </c>
      <c r="I250" s="11">
        <f t="shared" ca="1" si="46"/>
        <v>0.28912373272158598</v>
      </c>
      <c r="J250" s="11">
        <f t="shared" ca="1" si="47"/>
        <v>5</v>
      </c>
      <c r="K250" s="24">
        <v>96</v>
      </c>
      <c r="L250" s="24">
        <f t="shared" ca="1" si="48"/>
        <v>50</v>
      </c>
      <c r="M250" s="24">
        <v>400</v>
      </c>
      <c r="N250" s="24">
        <v>20</v>
      </c>
      <c r="O250" s="24">
        <f t="shared" ca="1" si="49"/>
        <v>566</v>
      </c>
      <c r="P250" s="24">
        <v>268</v>
      </c>
      <c r="Q250" s="11">
        <f t="shared" ca="1" si="50"/>
        <v>50</v>
      </c>
      <c r="R250" s="24">
        <v>200</v>
      </c>
      <c r="S250" s="24">
        <v>10</v>
      </c>
      <c r="T250" s="24">
        <f t="shared" ca="1" si="51"/>
        <v>528</v>
      </c>
    </row>
    <row r="251" spans="1:20" x14ac:dyDescent="0.45">
      <c r="A251" s="11">
        <v>238</v>
      </c>
      <c r="B251" s="11">
        <f t="shared" ca="1" si="39"/>
        <v>0.22606623290960404</v>
      </c>
      <c r="C251" s="11">
        <f t="shared" ca="1" si="40"/>
        <v>1100</v>
      </c>
      <c r="D251" s="11">
        <f t="shared" ca="1" si="41"/>
        <v>0.84384644795334141</v>
      </c>
      <c r="E251" s="11">
        <f t="shared" ca="1" si="42"/>
        <v>1700</v>
      </c>
      <c r="F251" s="11">
        <f t="shared" ca="1" si="43"/>
        <v>0.78930479945223075</v>
      </c>
      <c r="G251" s="11">
        <f t="shared" ca="1" si="44"/>
        <v>1500</v>
      </c>
      <c r="H251" s="11">
        <f t="shared" ca="1" si="45"/>
        <v>1100</v>
      </c>
      <c r="I251" s="11">
        <f t="shared" ca="1" si="46"/>
        <v>0.38504309253726066</v>
      </c>
      <c r="J251" s="11">
        <f t="shared" ca="1" si="47"/>
        <v>5</v>
      </c>
      <c r="K251" s="24">
        <v>96</v>
      </c>
      <c r="L251" s="24">
        <f t="shared" ca="1" si="48"/>
        <v>50</v>
      </c>
      <c r="M251" s="24">
        <v>400</v>
      </c>
      <c r="N251" s="24">
        <v>20</v>
      </c>
      <c r="O251" s="24">
        <f t="shared" ca="1" si="49"/>
        <v>566</v>
      </c>
      <c r="P251" s="24">
        <v>269</v>
      </c>
      <c r="Q251" s="11">
        <f t="shared" ca="1" si="50"/>
        <v>50</v>
      </c>
      <c r="R251" s="24">
        <v>200</v>
      </c>
      <c r="S251" s="24">
        <v>10</v>
      </c>
      <c r="T251" s="24">
        <f t="shared" ca="1" si="51"/>
        <v>529</v>
      </c>
    </row>
    <row r="252" spans="1:20" x14ac:dyDescent="0.45">
      <c r="A252" s="11">
        <v>239</v>
      </c>
      <c r="B252" s="11">
        <f t="shared" ca="1" si="39"/>
        <v>0.6574652445946233</v>
      </c>
      <c r="C252" s="11">
        <f t="shared" ca="1" si="40"/>
        <v>1400</v>
      </c>
      <c r="D252" s="11">
        <f t="shared" ca="1" si="41"/>
        <v>0.43335111776984492</v>
      </c>
      <c r="E252" s="11">
        <f t="shared" ca="1" si="42"/>
        <v>1200</v>
      </c>
      <c r="F252" s="11">
        <f t="shared" ca="1" si="43"/>
        <v>0.6687680989485878</v>
      </c>
      <c r="G252" s="11">
        <f t="shared" ca="1" si="44"/>
        <v>1400</v>
      </c>
      <c r="H252" s="11">
        <f t="shared" ca="1" si="45"/>
        <v>1200</v>
      </c>
      <c r="I252" s="11">
        <f t="shared" ca="1" si="46"/>
        <v>0.23463228233285849</v>
      </c>
      <c r="J252" s="11">
        <f t="shared" ca="1" si="47"/>
        <v>5</v>
      </c>
      <c r="K252" s="24">
        <v>96</v>
      </c>
      <c r="L252" s="24">
        <f t="shared" ca="1" si="48"/>
        <v>50</v>
      </c>
      <c r="M252" s="24">
        <v>400</v>
      </c>
      <c r="N252" s="24">
        <v>20</v>
      </c>
      <c r="O252" s="24">
        <f t="shared" ca="1" si="49"/>
        <v>566</v>
      </c>
      <c r="P252" s="24">
        <v>270</v>
      </c>
      <c r="Q252" s="11">
        <f t="shared" ca="1" si="50"/>
        <v>50</v>
      </c>
      <c r="R252" s="24">
        <v>200</v>
      </c>
      <c r="S252" s="24">
        <v>10</v>
      </c>
      <c r="T252" s="24">
        <f t="shared" ca="1" si="51"/>
        <v>530</v>
      </c>
    </row>
    <row r="253" spans="1:20" x14ac:dyDescent="0.45">
      <c r="A253" s="11">
        <v>240</v>
      </c>
      <c r="B253" s="11">
        <f t="shared" ca="1" si="39"/>
        <v>0.25764114639599323</v>
      </c>
      <c r="C253" s="11">
        <f t="shared" ca="1" si="40"/>
        <v>1200</v>
      </c>
      <c r="D253" s="11">
        <f t="shared" ca="1" si="41"/>
        <v>0.88445601804931118</v>
      </c>
      <c r="E253" s="11">
        <f t="shared" ca="1" si="42"/>
        <v>1700</v>
      </c>
      <c r="F253" s="11">
        <f t="shared" ca="1" si="43"/>
        <v>0.63473735237740736</v>
      </c>
      <c r="G253" s="11">
        <f t="shared" ca="1" si="44"/>
        <v>1400</v>
      </c>
      <c r="H253" s="11">
        <f t="shared" ca="1" si="45"/>
        <v>1200</v>
      </c>
      <c r="I253" s="11">
        <f t="shared" ca="1" si="46"/>
        <v>0.84101471527007587</v>
      </c>
      <c r="J253" s="11">
        <f t="shared" ca="1" si="47"/>
        <v>10</v>
      </c>
      <c r="K253" s="24">
        <v>96</v>
      </c>
      <c r="L253" s="24">
        <f t="shared" ca="1" si="48"/>
        <v>100</v>
      </c>
      <c r="M253" s="24">
        <v>400</v>
      </c>
      <c r="N253" s="24">
        <v>20</v>
      </c>
      <c r="O253" s="24">
        <f t="shared" ca="1" si="49"/>
        <v>616</v>
      </c>
      <c r="P253" s="24">
        <v>271</v>
      </c>
      <c r="Q253" s="11">
        <f t="shared" ca="1" si="50"/>
        <v>100</v>
      </c>
      <c r="R253" s="24">
        <v>200</v>
      </c>
      <c r="S253" s="24">
        <v>10</v>
      </c>
      <c r="T253" s="24">
        <f t="shared" ca="1" si="51"/>
        <v>581</v>
      </c>
    </row>
    <row r="254" spans="1:20" x14ac:dyDescent="0.45">
      <c r="A254" s="11">
        <v>241</v>
      </c>
      <c r="B254" s="11">
        <f t="shared" ca="1" si="39"/>
        <v>0.69375973584704775</v>
      </c>
      <c r="C254" s="11">
        <f t="shared" ca="1" si="40"/>
        <v>1400</v>
      </c>
      <c r="D254" s="11">
        <f t="shared" ca="1" si="41"/>
        <v>0.73905301128059142</v>
      </c>
      <c r="E254" s="11">
        <f t="shared" ca="1" si="42"/>
        <v>1500</v>
      </c>
      <c r="F254" s="11">
        <f t="shared" ca="1" si="43"/>
        <v>0.95735086247931667</v>
      </c>
      <c r="G254" s="11">
        <f t="shared" ca="1" si="44"/>
        <v>1900</v>
      </c>
      <c r="H254" s="11">
        <f t="shared" ca="1" si="45"/>
        <v>1400</v>
      </c>
      <c r="I254" s="11">
        <f t="shared" ca="1" si="46"/>
        <v>7.3359212003344609E-2</v>
      </c>
      <c r="J254" s="11">
        <f t="shared" ca="1" si="47"/>
        <v>5</v>
      </c>
      <c r="K254" s="24">
        <v>96</v>
      </c>
      <c r="L254" s="24">
        <f t="shared" ca="1" si="48"/>
        <v>50</v>
      </c>
      <c r="M254" s="24">
        <v>400</v>
      </c>
      <c r="N254" s="24">
        <v>20</v>
      </c>
      <c r="O254" s="24">
        <f t="shared" ca="1" si="49"/>
        <v>566</v>
      </c>
      <c r="P254" s="24">
        <v>272</v>
      </c>
      <c r="Q254" s="11">
        <f t="shared" ca="1" si="50"/>
        <v>50</v>
      </c>
      <c r="R254" s="24">
        <v>200</v>
      </c>
      <c r="S254" s="24">
        <v>10</v>
      </c>
      <c r="T254" s="24">
        <f t="shared" ca="1" si="51"/>
        <v>532</v>
      </c>
    </row>
    <row r="255" spans="1:20" x14ac:dyDescent="0.45">
      <c r="A255" s="11">
        <v>242</v>
      </c>
      <c r="B255" s="11">
        <f t="shared" ca="1" si="39"/>
        <v>0.68555096587919195</v>
      </c>
      <c r="C255" s="11">
        <f t="shared" ca="1" si="40"/>
        <v>1400</v>
      </c>
      <c r="D255" s="11">
        <f t="shared" ca="1" si="41"/>
        <v>0.40778556802830634</v>
      </c>
      <c r="E255" s="11">
        <f t="shared" ca="1" si="42"/>
        <v>1200</v>
      </c>
      <c r="F255" s="11">
        <f t="shared" ca="1" si="43"/>
        <v>8.4011731719495941E-2</v>
      </c>
      <c r="G255" s="11">
        <f t="shared" ca="1" si="44"/>
        <v>1000</v>
      </c>
      <c r="H255" s="11">
        <f t="shared" ca="1" si="45"/>
        <v>1000</v>
      </c>
      <c r="I255" s="11">
        <f t="shared" ca="1" si="46"/>
        <v>0.15509600239188304</v>
      </c>
      <c r="J255" s="11">
        <f t="shared" ca="1" si="47"/>
        <v>5</v>
      </c>
      <c r="K255" s="24">
        <v>96</v>
      </c>
      <c r="L255" s="24">
        <f t="shared" ca="1" si="48"/>
        <v>50</v>
      </c>
      <c r="M255" s="24">
        <v>400</v>
      </c>
      <c r="N255" s="24">
        <v>20</v>
      </c>
      <c r="O255" s="24">
        <f t="shared" ca="1" si="49"/>
        <v>566</v>
      </c>
      <c r="P255" s="24">
        <v>273</v>
      </c>
      <c r="Q255" s="11">
        <f t="shared" ca="1" si="50"/>
        <v>50</v>
      </c>
      <c r="R255" s="24">
        <v>200</v>
      </c>
      <c r="S255" s="24">
        <v>10</v>
      </c>
      <c r="T255" s="24">
        <f t="shared" ca="1" si="51"/>
        <v>533</v>
      </c>
    </row>
    <row r="256" spans="1:20" x14ac:dyDescent="0.45">
      <c r="A256" s="11">
        <v>243</v>
      </c>
      <c r="B256" s="11">
        <f t="shared" ca="1" si="39"/>
        <v>0.84403283341019919</v>
      </c>
      <c r="C256" s="11">
        <f t="shared" ca="1" si="40"/>
        <v>1700</v>
      </c>
      <c r="D256" s="11">
        <f t="shared" ca="1" si="41"/>
        <v>0.95639480088240614</v>
      </c>
      <c r="E256" s="11">
        <f t="shared" ca="1" si="42"/>
        <v>1900</v>
      </c>
      <c r="F256" s="11">
        <f t="shared" ca="1" si="43"/>
        <v>0.35117977221485941</v>
      </c>
      <c r="G256" s="11">
        <f t="shared" ca="1" si="44"/>
        <v>1200</v>
      </c>
      <c r="H256" s="11">
        <f t="shared" ca="1" si="45"/>
        <v>1200</v>
      </c>
      <c r="I256" s="11">
        <f t="shared" ca="1" si="46"/>
        <v>0.95803308152129663</v>
      </c>
      <c r="J256" s="11">
        <f t="shared" ca="1" si="47"/>
        <v>15</v>
      </c>
      <c r="K256" s="24">
        <v>96</v>
      </c>
      <c r="L256" s="24">
        <f t="shared" ca="1" si="48"/>
        <v>150</v>
      </c>
      <c r="M256" s="24">
        <v>400</v>
      </c>
      <c r="N256" s="24">
        <v>20</v>
      </c>
      <c r="O256" s="24">
        <f t="shared" ca="1" si="49"/>
        <v>666</v>
      </c>
      <c r="P256" s="24">
        <v>274</v>
      </c>
      <c r="Q256" s="11">
        <f t="shared" ca="1" si="50"/>
        <v>150</v>
      </c>
      <c r="R256" s="24">
        <v>200</v>
      </c>
      <c r="S256" s="24">
        <v>10</v>
      </c>
      <c r="T256" s="24">
        <f t="shared" ca="1" si="51"/>
        <v>634</v>
      </c>
    </row>
    <row r="257" spans="1:20" x14ac:dyDescent="0.45">
      <c r="A257" s="11">
        <v>244</v>
      </c>
      <c r="B257" s="11">
        <f t="shared" ca="1" si="39"/>
        <v>0.20527722292417849</v>
      </c>
      <c r="C257" s="11">
        <f t="shared" ca="1" si="40"/>
        <v>1100</v>
      </c>
      <c r="D257" s="11">
        <f t="shared" ca="1" si="41"/>
        <v>1.2055907096400809E-2</v>
      </c>
      <c r="E257" s="11">
        <f t="shared" ca="1" si="42"/>
        <v>1000</v>
      </c>
      <c r="F257" s="11">
        <f t="shared" ca="1" si="43"/>
        <v>0.70344201502227666</v>
      </c>
      <c r="G257" s="11">
        <f t="shared" ca="1" si="44"/>
        <v>1500</v>
      </c>
      <c r="H257" s="11">
        <f t="shared" ca="1" si="45"/>
        <v>1000</v>
      </c>
      <c r="I257" s="11">
        <f t="shared" ca="1" si="46"/>
        <v>0.92923863633909642</v>
      </c>
      <c r="J257" s="11">
        <f t="shared" ca="1" si="47"/>
        <v>15</v>
      </c>
      <c r="K257" s="24">
        <v>96</v>
      </c>
      <c r="L257" s="24">
        <f t="shared" ca="1" si="48"/>
        <v>150</v>
      </c>
      <c r="M257" s="24">
        <v>400</v>
      </c>
      <c r="N257" s="24">
        <v>20</v>
      </c>
      <c r="O257" s="24">
        <f t="shared" ca="1" si="49"/>
        <v>666</v>
      </c>
      <c r="P257" s="24">
        <v>275</v>
      </c>
      <c r="Q257" s="11">
        <f t="shared" ca="1" si="50"/>
        <v>150</v>
      </c>
      <c r="R257" s="24">
        <v>200</v>
      </c>
      <c r="S257" s="24">
        <v>10</v>
      </c>
      <c r="T257" s="24">
        <f t="shared" ca="1" si="51"/>
        <v>635</v>
      </c>
    </row>
    <row r="258" spans="1:20" x14ac:dyDescent="0.45">
      <c r="A258" s="11">
        <v>245</v>
      </c>
      <c r="B258" s="11">
        <f t="shared" ca="1" si="39"/>
        <v>0.11013020507586024</v>
      </c>
      <c r="C258" s="11">
        <f t="shared" ca="1" si="40"/>
        <v>1100</v>
      </c>
      <c r="D258" s="11">
        <f t="shared" ca="1" si="41"/>
        <v>0.42886021183546552</v>
      </c>
      <c r="E258" s="11">
        <f t="shared" ca="1" si="42"/>
        <v>1200</v>
      </c>
      <c r="F258" s="11">
        <f t="shared" ca="1" si="43"/>
        <v>0.75231433828548111</v>
      </c>
      <c r="G258" s="11">
        <f t="shared" ca="1" si="44"/>
        <v>1500</v>
      </c>
      <c r="H258" s="11">
        <f t="shared" ca="1" si="45"/>
        <v>1100</v>
      </c>
      <c r="I258" s="11">
        <f t="shared" ca="1" si="46"/>
        <v>0.89708729351733096</v>
      </c>
      <c r="J258" s="11">
        <f t="shared" ca="1" si="47"/>
        <v>10</v>
      </c>
      <c r="K258" s="24">
        <v>96</v>
      </c>
      <c r="L258" s="24">
        <f t="shared" ca="1" si="48"/>
        <v>100</v>
      </c>
      <c r="M258" s="24">
        <v>400</v>
      </c>
      <c r="N258" s="24">
        <v>20</v>
      </c>
      <c r="O258" s="24">
        <f t="shared" ca="1" si="49"/>
        <v>616</v>
      </c>
      <c r="P258" s="24">
        <v>276</v>
      </c>
      <c r="Q258" s="11">
        <f t="shared" ca="1" si="50"/>
        <v>100</v>
      </c>
      <c r="R258" s="24">
        <v>200</v>
      </c>
      <c r="S258" s="24">
        <v>10</v>
      </c>
      <c r="T258" s="24">
        <f t="shared" ca="1" si="51"/>
        <v>586</v>
      </c>
    </row>
    <row r="259" spans="1:20" x14ac:dyDescent="0.45">
      <c r="A259" s="11">
        <v>246</v>
      </c>
      <c r="B259" s="11">
        <f t="shared" ca="1" si="39"/>
        <v>0.38103744641235093</v>
      </c>
      <c r="C259" s="11">
        <f t="shared" ca="1" si="40"/>
        <v>1200</v>
      </c>
      <c r="D259" s="11">
        <f t="shared" ca="1" si="41"/>
        <v>0.44134041375677413</v>
      </c>
      <c r="E259" s="11">
        <f t="shared" ca="1" si="42"/>
        <v>1200</v>
      </c>
      <c r="F259" s="11">
        <f t="shared" ca="1" si="43"/>
        <v>7.9870850384863301E-3</v>
      </c>
      <c r="G259" s="11">
        <f t="shared" ca="1" si="44"/>
        <v>1000</v>
      </c>
      <c r="H259" s="11">
        <f t="shared" ca="1" si="45"/>
        <v>1000</v>
      </c>
      <c r="I259" s="11">
        <f t="shared" ca="1" si="46"/>
        <v>0.93562075152036595</v>
      </c>
      <c r="J259" s="11">
        <f t="shared" ca="1" si="47"/>
        <v>15</v>
      </c>
      <c r="K259" s="24">
        <v>96</v>
      </c>
      <c r="L259" s="24">
        <f t="shared" ca="1" si="48"/>
        <v>150</v>
      </c>
      <c r="M259" s="24">
        <v>400</v>
      </c>
      <c r="N259" s="24">
        <v>20</v>
      </c>
      <c r="O259" s="24">
        <f t="shared" ca="1" si="49"/>
        <v>666</v>
      </c>
      <c r="P259" s="24">
        <v>277</v>
      </c>
      <c r="Q259" s="11">
        <f t="shared" ca="1" si="50"/>
        <v>150</v>
      </c>
      <c r="R259" s="24">
        <v>200</v>
      </c>
      <c r="S259" s="24">
        <v>10</v>
      </c>
      <c r="T259" s="24">
        <f t="shared" ca="1" si="51"/>
        <v>637</v>
      </c>
    </row>
    <row r="260" spans="1:20" x14ac:dyDescent="0.45">
      <c r="A260" s="11">
        <v>247</v>
      </c>
      <c r="B260" s="11">
        <f t="shared" ca="1" si="39"/>
        <v>0.17502143569755058</v>
      </c>
      <c r="C260" s="11">
        <f t="shared" ca="1" si="40"/>
        <v>1100</v>
      </c>
      <c r="D260" s="11">
        <f t="shared" ca="1" si="41"/>
        <v>0.63861389367590438</v>
      </c>
      <c r="E260" s="11">
        <f t="shared" ca="1" si="42"/>
        <v>1400</v>
      </c>
      <c r="F260" s="11">
        <f t="shared" ca="1" si="43"/>
        <v>0.2511527185467276</v>
      </c>
      <c r="G260" s="11">
        <f t="shared" ca="1" si="44"/>
        <v>1200</v>
      </c>
      <c r="H260" s="11">
        <f t="shared" ca="1" si="45"/>
        <v>1100</v>
      </c>
      <c r="I260" s="11">
        <f t="shared" ca="1" si="46"/>
        <v>0.6144319625386151</v>
      </c>
      <c r="J260" s="11">
        <f t="shared" ca="1" si="47"/>
        <v>10</v>
      </c>
      <c r="K260" s="24">
        <v>96</v>
      </c>
      <c r="L260" s="24">
        <f t="shared" ca="1" si="48"/>
        <v>100</v>
      </c>
      <c r="M260" s="24">
        <v>400</v>
      </c>
      <c r="N260" s="24">
        <v>20</v>
      </c>
      <c r="O260" s="24">
        <f t="shared" ca="1" si="49"/>
        <v>616</v>
      </c>
      <c r="P260" s="24">
        <v>278</v>
      </c>
      <c r="Q260" s="11">
        <f t="shared" ca="1" si="50"/>
        <v>100</v>
      </c>
      <c r="R260" s="24">
        <v>200</v>
      </c>
      <c r="S260" s="24">
        <v>10</v>
      </c>
      <c r="T260" s="24">
        <f t="shared" ca="1" si="51"/>
        <v>588</v>
      </c>
    </row>
    <row r="261" spans="1:20" x14ac:dyDescent="0.45">
      <c r="A261" s="11">
        <v>248</v>
      </c>
      <c r="B261" s="11">
        <f t="shared" ca="1" si="39"/>
        <v>0.24716110812348302</v>
      </c>
      <c r="C261" s="11">
        <f t="shared" ca="1" si="40"/>
        <v>1200</v>
      </c>
      <c r="D261" s="11">
        <f t="shared" ca="1" si="41"/>
        <v>0.38092833004712101</v>
      </c>
      <c r="E261" s="11">
        <f t="shared" ca="1" si="42"/>
        <v>1200</v>
      </c>
      <c r="F261" s="11">
        <f t="shared" ca="1" si="43"/>
        <v>0.45834716942917009</v>
      </c>
      <c r="G261" s="11">
        <f t="shared" ca="1" si="44"/>
        <v>1200</v>
      </c>
      <c r="H261" s="11">
        <f t="shared" ca="1" si="45"/>
        <v>1200</v>
      </c>
      <c r="I261" s="11">
        <f t="shared" ca="1" si="46"/>
        <v>0.58162347830725192</v>
      </c>
      <c r="J261" s="11">
        <f t="shared" ca="1" si="47"/>
        <v>5</v>
      </c>
      <c r="K261" s="24">
        <v>96</v>
      </c>
      <c r="L261" s="24">
        <f t="shared" ca="1" si="48"/>
        <v>50</v>
      </c>
      <c r="M261" s="24">
        <v>400</v>
      </c>
      <c r="N261" s="24">
        <v>20</v>
      </c>
      <c r="O261" s="24">
        <f t="shared" ca="1" si="49"/>
        <v>566</v>
      </c>
      <c r="P261" s="24">
        <v>279</v>
      </c>
      <c r="Q261" s="11">
        <f t="shared" ca="1" si="50"/>
        <v>50</v>
      </c>
      <c r="R261" s="24">
        <v>200</v>
      </c>
      <c r="S261" s="24">
        <v>10</v>
      </c>
      <c r="T261" s="24">
        <f t="shared" ca="1" si="51"/>
        <v>539</v>
      </c>
    </row>
    <row r="262" spans="1:20" x14ac:dyDescent="0.45">
      <c r="A262" s="11">
        <v>249</v>
      </c>
      <c r="B262" s="11">
        <f t="shared" ca="1" si="39"/>
        <v>0.35688215376120558</v>
      </c>
      <c r="C262" s="11">
        <f t="shared" ca="1" si="40"/>
        <v>1200</v>
      </c>
      <c r="D262" s="11">
        <f t="shared" ca="1" si="41"/>
        <v>0.49272496225899409</v>
      </c>
      <c r="E262" s="11">
        <f t="shared" ca="1" si="42"/>
        <v>1300</v>
      </c>
      <c r="F262" s="11">
        <f t="shared" ca="1" si="43"/>
        <v>0.8759181647420492</v>
      </c>
      <c r="G262" s="11">
        <f t="shared" ca="1" si="44"/>
        <v>1700</v>
      </c>
      <c r="H262" s="11">
        <f t="shared" ca="1" si="45"/>
        <v>1200</v>
      </c>
      <c r="I262" s="11">
        <f t="shared" ca="1" si="46"/>
        <v>0.12528870245987922</v>
      </c>
      <c r="J262" s="11">
        <f t="shared" ca="1" si="47"/>
        <v>5</v>
      </c>
      <c r="K262" s="24">
        <v>96</v>
      </c>
      <c r="L262" s="24">
        <f t="shared" ca="1" si="48"/>
        <v>50</v>
      </c>
      <c r="M262" s="24">
        <v>400</v>
      </c>
      <c r="N262" s="24">
        <v>20</v>
      </c>
      <c r="O262" s="24">
        <f t="shared" ca="1" si="49"/>
        <v>566</v>
      </c>
      <c r="P262" s="24">
        <v>280</v>
      </c>
      <c r="Q262" s="11">
        <f t="shared" ca="1" si="50"/>
        <v>50</v>
      </c>
      <c r="R262" s="24">
        <v>200</v>
      </c>
      <c r="S262" s="24">
        <v>10</v>
      </c>
      <c r="T262" s="24">
        <f t="shared" ca="1" si="51"/>
        <v>540</v>
      </c>
    </row>
    <row r="263" spans="1:20" x14ac:dyDescent="0.45">
      <c r="A263" s="11">
        <v>250</v>
      </c>
      <c r="B263" s="11">
        <f t="shared" ca="1" si="39"/>
        <v>0.51813320711102528</v>
      </c>
      <c r="C263" s="11">
        <f t="shared" ca="1" si="40"/>
        <v>1300</v>
      </c>
      <c r="D263" s="11">
        <f t="shared" ca="1" si="41"/>
        <v>0.37714746429505264</v>
      </c>
      <c r="E263" s="11">
        <f t="shared" ca="1" si="42"/>
        <v>1200</v>
      </c>
      <c r="F263" s="11">
        <f t="shared" ca="1" si="43"/>
        <v>0.41464207204561399</v>
      </c>
      <c r="G263" s="11">
        <f t="shared" ca="1" si="44"/>
        <v>1200</v>
      </c>
      <c r="H263" s="11">
        <f t="shared" ca="1" si="45"/>
        <v>1200</v>
      </c>
      <c r="I263" s="11">
        <f t="shared" ca="1" si="46"/>
        <v>4.2253066350471991E-2</v>
      </c>
      <c r="J263" s="11">
        <f t="shared" ca="1" si="47"/>
        <v>5</v>
      </c>
      <c r="K263" s="24">
        <v>96</v>
      </c>
      <c r="L263" s="24">
        <f t="shared" ca="1" si="48"/>
        <v>50</v>
      </c>
      <c r="M263" s="24">
        <v>400</v>
      </c>
      <c r="N263" s="24">
        <v>20</v>
      </c>
      <c r="O263" s="24">
        <f t="shared" ca="1" si="49"/>
        <v>566</v>
      </c>
      <c r="P263" s="24">
        <v>281</v>
      </c>
      <c r="Q263" s="11">
        <f t="shared" ca="1" si="50"/>
        <v>50</v>
      </c>
      <c r="R263" s="24">
        <v>200</v>
      </c>
      <c r="S263" s="24">
        <v>10</v>
      </c>
      <c r="T263" s="24">
        <f t="shared" ca="1" si="51"/>
        <v>541</v>
      </c>
    </row>
    <row r="264" spans="1:20" x14ac:dyDescent="0.45">
      <c r="A264" s="11">
        <v>251</v>
      </c>
      <c r="B264" s="11">
        <f t="shared" ca="1" si="39"/>
        <v>0.47554760137404906</v>
      </c>
      <c r="C264" s="11">
        <f t="shared" ca="1" si="40"/>
        <v>1200</v>
      </c>
      <c r="D264" s="11">
        <f t="shared" ca="1" si="41"/>
        <v>0.50600924894583055</v>
      </c>
      <c r="E264" s="11">
        <f t="shared" ca="1" si="42"/>
        <v>1300</v>
      </c>
      <c r="F264" s="11">
        <f t="shared" ca="1" si="43"/>
        <v>0.37111394417312682</v>
      </c>
      <c r="G264" s="11">
        <f t="shared" ca="1" si="44"/>
        <v>1200</v>
      </c>
      <c r="H264" s="11">
        <f t="shared" ca="1" si="45"/>
        <v>1200</v>
      </c>
      <c r="I264" s="11">
        <f t="shared" ca="1" si="46"/>
        <v>0.37456153403032499</v>
      </c>
      <c r="J264" s="11">
        <f t="shared" ca="1" si="47"/>
        <v>5</v>
      </c>
      <c r="K264" s="24">
        <v>96</v>
      </c>
      <c r="L264" s="24">
        <f t="shared" ca="1" si="48"/>
        <v>50</v>
      </c>
      <c r="M264" s="24">
        <v>400</v>
      </c>
      <c r="N264" s="24">
        <v>20</v>
      </c>
      <c r="O264" s="24">
        <f t="shared" ca="1" si="49"/>
        <v>566</v>
      </c>
      <c r="P264" s="24">
        <v>282</v>
      </c>
      <c r="Q264" s="11">
        <f t="shared" ca="1" si="50"/>
        <v>50</v>
      </c>
      <c r="R264" s="24">
        <v>200</v>
      </c>
      <c r="S264" s="24">
        <v>10</v>
      </c>
      <c r="T264" s="24">
        <f t="shared" ca="1" si="51"/>
        <v>542</v>
      </c>
    </row>
    <row r="265" spans="1:20" x14ac:dyDescent="0.45">
      <c r="A265" s="11">
        <v>252</v>
      </c>
      <c r="B265" s="11">
        <f t="shared" ca="1" si="39"/>
        <v>0.48972401615463323</v>
      </c>
      <c r="C265" s="11">
        <f t="shared" ca="1" si="40"/>
        <v>1300</v>
      </c>
      <c r="D265" s="11">
        <f t="shared" ca="1" si="41"/>
        <v>0.42927732232953875</v>
      </c>
      <c r="E265" s="11">
        <f t="shared" ca="1" si="42"/>
        <v>1200</v>
      </c>
      <c r="F265" s="11">
        <f t="shared" ca="1" si="43"/>
        <v>0.98091622236810572</v>
      </c>
      <c r="G265" s="11">
        <f t="shared" ca="1" si="44"/>
        <v>1900</v>
      </c>
      <c r="H265" s="11">
        <f t="shared" ca="1" si="45"/>
        <v>1200</v>
      </c>
      <c r="I265" s="11">
        <f t="shared" ca="1" si="46"/>
        <v>0.47781116310113059</v>
      </c>
      <c r="J265" s="11">
        <f t="shared" ca="1" si="47"/>
        <v>5</v>
      </c>
      <c r="K265" s="24">
        <v>96</v>
      </c>
      <c r="L265" s="24">
        <f t="shared" ca="1" si="48"/>
        <v>50</v>
      </c>
      <c r="M265" s="24">
        <v>400</v>
      </c>
      <c r="N265" s="24">
        <v>20</v>
      </c>
      <c r="O265" s="24">
        <f t="shared" ca="1" si="49"/>
        <v>566</v>
      </c>
      <c r="P265" s="24">
        <v>283</v>
      </c>
      <c r="Q265" s="11">
        <f t="shared" ca="1" si="50"/>
        <v>50</v>
      </c>
      <c r="R265" s="24">
        <v>200</v>
      </c>
      <c r="S265" s="24">
        <v>10</v>
      </c>
      <c r="T265" s="24">
        <f t="shared" ca="1" si="51"/>
        <v>543</v>
      </c>
    </row>
    <row r="266" spans="1:20" x14ac:dyDescent="0.45">
      <c r="A266" s="11">
        <v>253</v>
      </c>
      <c r="B266" s="11">
        <f t="shared" ca="1" si="39"/>
        <v>0.39153842386491211</v>
      </c>
      <c r="C266" s="11">
        <f t="shared" ca="1" si="40"/>
        <v>1200</v>
      </c>
      <c r="D266" s="11">
        <f t="shared" ca="1" si="41"/>
        <v>0.92153231691642068</v>
      </c>
      <c r="E266" s="11">
        <f t="shared" ca="1" si="42"/>
        <v>1800</v>
      </c>
      <c r="F266" s="11">
        <f t="shared" ca="1" si="43"/>
        <v>0.18169296526345147</v>
      </c>
      <c r="G266" s="11">
        <f t="shared" ca="1" si="44"/>
        <v>1100</v>
      </c>
      <c r="H266" s="11">
        <f t="shared" ca="1" si="45"/>
        <v>1100</v>
      </c>
      <c r="I266" s="11">
        <f t="shared" ca="1" si="46"/>
        <v>0.86680278230627072</v>
      </c>
      <c r="J266" s="11">
        <f t="shared" ca="1" si="47"/>
        <v>10</v>
      </c>
      <c r="K266" s="24">
        <v>96</v>
      </c>
      <c r="L266" s="24">
        <f t="shared" ca="1" si="48"/>
        <v>100</v>
      </c>
      <c r="M266" s="24">
        <v>400</v>
      </c>
      <c r="N266" s="24">
        <v>20</v>
      </c>
      <c r="O266" s="24">
        <f t="shared" ca="1" si="49"/>
        <v>616</v>
      </c>
      <c r="P266" s="24">
        <v>284</v>
      </c>
      <c r="Q266" s="11">
        <f t="shared" ca="1" si="50"/>
        <v>100</v>
      </c>
      <c r="R266" s="24">
        <v>200</v>
      </c>
      <c r="S266" s="24">
        <v>10</v>
      </c>
      <c r="T266" s="24">
        <f t="shared" ca="1" si="51"/>
        <v>594</v>
      </c>
    </row>
    <row r="267" spans="1:20" x14ac:dyDescent="0.45">
      <c r="A267" s="11">
        <v>254</v>
      </c>
      <c r="B267" s="11">
        <f t="shared" ca="1" si="39"/>
        <v>5.0679070661539316E-2</v>
      </c>
      <c r="C267" s="11">
        <f t="shared" ca="1" si="40"/>
        <v>1000</v>
      </c>
      <c r="D267" s="11">
        <f t="shared" ca="1" si="41"/>
        <v>0.8180454341130321</v>
      </c>
      <c r="E267" s="11">
        <f t="shared" ca="1" si="42"/>
        <v>1500</v>
      </c>
      <c r="F267" s="11">
        <f t="shared" ca="1" si="43"/>
        <v>0.73280405965826956</v>
      </c>
      <c r="G267" s="11">
        <f t="shared" ca="1" si="44"/>
        <v>1500</v>
      </c>
      <c r="H267" s="11">
        <f t="shared" ca="1" si="45"/>
        <v>1000</v>
      </c>
      <c r="I267" s="11">
        <f t="shared" ca="1" si="46"/>
        <v>0.89388809352393805</v>
      </c>
      <c r="J267" s="11">
        <f t="shared" ca="1" si="47"/>
        <v>10</v>
      </c>
      <c r="K267" s="24">
        <v>96</v>
      </c>
      <c r="L267" s="24">
        <f t="shared" ca="1" si="48"/>
        <v>100</v>
      </c>
      <c r="M267" s="24">
        <v>400</v>
      </c>
      <c r="N267" s="24">
        <v>20</v>
      </c>
      <c r="O267" s="24">
        <f t="shared" ca="1" si="49"/>
        <v>616</v>
      </c>
      <c r="P267" s="24">
        <v>285</v>
      </c>
      <c r="Q267" s="11">
        <f t="shared" ca="1" si="50"/>
        <v>100</v>
      </c>
      <c r="R267" s="24">
        <v>200</v>
      </c>
      <c r="S267" s="24">
        <v>10</v>
      </c>
      <c r="T267" s="24">
        <f t="shared" ca="1" si="51"/>
        <v>595</v>
      </c>
    </row>
    <row r="268" spans="1:20" x14ac:dyDescent="0.45">
      <c r="A268" s="11">
        <v>255</v>
      </c>
      <c r="B268" s="11">
        <f t="shared" ca="1" si="39"/>
        <v>0.85756517420867096</v>
      </c>
      <c r="C268" s="11">
        <f t="shared" ca="1" si="40"/>
        <v>1700</v>
      </c>
      <c r="D268" s="11">
        <f t="shared" ca="1" si="41"/>
        <v>0.65326929077311879</v>
      </c>
      <c r="E268" s="11">
        <f t="shared" ca="1" si="42"/>
        <v>1400</v>
      </c>
      <c r="F268" s="11">
        <f t="shared" ca="1" si="43"/>
        <v>0.67536416502862351</v>
      </c>
      <c r="G268" s="11">
        <f t="shared" ca="1" si="44"/>
        <v>1400</v>
      </c>
      <c r="H268" s="11">
        <f t="shared" ca="1" si="45"/>
        <v>1400</v>
      </c>
      <c r="I268" s="11">
        <f t="shared" ca="1" si="46"/>
        <v>0.9717996821887408</v>
      </c>
      <c r="J268" s="11">
        <f t="shared" ca="1" si="47"/>
        <v>15</v>
      </c>
      <c r="K268" s="24">
        <v>96</v>
      </c>
      <c r="L268" s="24">
        <f t="shared" ca="1" si="48"/>
        <v>150</v>
      </c>
      <c r="M268" s="24">
        <v>400</v>
      </c>
      <c r="N268" s="24">
        <v>20</v>
      </c>
      <c r="O268" s="24">
        <f t="shared" ca="1" si="49"/>
        <v>666</v>
      </c>
      <c r="P268" s="24">
        <v>286</v>
      </c>
      <c r="Q268" s="11">
        <f t="shared" ca="1" si="50"/>
        <v>150</v>
      </c>
      <c r="R268" s="24">
        <v>200</v>
      </c>
      <c r="S268" s="24">
        <v>10</v>
      </c>
      <c r="T268" s="24">
        <f t="shared" ca="1" si="51"/>
        <v>646</v>
      </c>
    </row>
    <row r="269" spans="1:20" x14ac:dyDescent="0.45">
      <c r="A269" s="11">
        <v>256</v>
      </c>
      <c r="B269" s="11">
        <f t="shared" ca="1" si="39"/>
        <v>0.3891358289202802</v>
      </c>
      <c r="C269" s="11">
        <f t="shared" ca="1" si="40"/>
        <v>1200</v>
      </c>
      <c r="D269" s="11">
        <f t="shared" ca="1" si="41"/>
        <v>0.43309306467943987</v>
      </c>
      <c r="E269" s="11">
        <f t="shared" ca="1" si="42"/>
        <v>1200</v>
      </c>
      <c r="F269" s="11">
        <f t="shared" ca="1" si="43"/>
        <v>0.56044530588627317</v>
      </c>
      <c r="G269" s="11">
        <f t="shared" ca="1" si="44"/>
        <v>1300</v>
      </c>
      <c r="H269" s="11">
        <f t="shared" ca="1" si="45"/>
        <v>1200</v>
      </c>
      <c r="I269" s="11">
        <f t="shared" ca="1" si="46"/>
        <v>0.59281657526174469</v>
      </c>
      <c r="J269" s="11">
        <f t="shared" ca="1" si="47"/>
        <v>5</v>
      </c>
      <c r="K269" s="24">
        <v>96</v>
      </c>
      <c r="L269" s="24">
        <f t="shared" ca="1" si="48"/>
        <v>50</v>
      </c>
      <c r="M269" s="24">
        <v>400</v>
      </c>
      <c r="N269" s="24">
        <v>20</v>
      </c>
      <c r="O269" s="24">
        <f t="shared" ca="1" si="49"/>
        <v>566</v>
      </c>
      <c r="P269" s="24">
        <v>287</v>
      </c>
      <c r="Q269" s="11">
        <f t="shared" ca="1" si="50"/>
        <v>50</v>
      </c>
      <c r="R269" s="24">
        <v>200</v>
      </c>
      <c r="S269" s="24">
        <v>10</v>
      </c>
      <c r="T269" s="24">
        <f t="shared" ca="1" si="51"/>
        <v>547</v>
      </c>
    </row>
    <row r="270" spans="1:20" x14ac:dyDescent="0.45">
      <c r="A270" s="11">
        <v>257</v>
      </c>
      <c r="B270" s="11">
        <f t="shared" ca="1" si="39"/>
        <v>0.30141436893691487</v>
      </c>
      <c r="C270" s="11">
        <f t="shared" ca="1" si="40"/>
        <v>1200</v>
      </c>
      <c r="D270" s="11">
        <f t="shared" ca="1" si="41"/>
        <v>0.3498730710068626</v>
      </c>
      <c r="E270" s="11">
        <f t="shared" ca="1" si="42"/>
        <v>1200</v>
      </c>
      <c r="F270" s="11">
        <f t="shared" ca="1" si="43"/>
        <v>0.2780686497959548</v>
      </c>
      <c r="G270" s="11">
        <f t="shared" ca="1" si="44"/>
        <v>1200</v>
      </c>
      <c r="H270" s="11">
        <f t="shared" ca="1" si="45"/>
        <v>1200</v>
      </c>
      <c r="I270" s="11">
        <f t="shared" ca="1" si="46"/>
        <v>0.10543221450887674</v>
      </c>
      <c r="J270" s="11">
        <f t="shared" ca="1" si="47"/>
        <v>5</v>
      </c>
      <c r="K270" s="24">
        <v>96</v>
      </c>
      <c r="L270" s="24">
        <f t="shared" ca="1" si="48"/>
        <v>50</v>
      </c>
      <c r="M270" s="24">
        <v>400</v>
      </c>
      <c r="N270" s="24">
        <v>20</v>
      </c>
      <c r="O270" s="24">
        <f t="shared" ca="1" si="49"/>
        <v>566</v>
      </c>
      <c r="P270" s="24">
        <v>288</v>
      </c>
      <c r="Q270" s="11">
        <f t="shared" ca="1" si="50"/>
        <v>50</v>
      </c>
      <c r="R270" s="24">
        <v>200</v>
      </c>
      <c r="S270" s="24">
        <v>10</v>
      </c>
      <c r="T270" s="24">
        <f t="shared" ca="1" si="51"/>
        <v>548</v>
      </c>
    </row>
    <row r="271" spans="1:20" x14ac:dyDescent="0.45">
      <c r="A271" s="11">
        <v>258</v>
      </c>
      <c r="B271" s="11">
        <f t="shared" ref="B271:B334" ca="1" si="52">RAND()</f>
        <v>0.66944654077067023</v>
      </c>
      <c r="C271" s="11">
        <f t="shared" ref="C271:C334" ca="1" si="53">LOOKUP(B271, $C$2:$C$11, $A$2:$A$11)</f>
        <v>1400</v>
      </c>
      <c r="D271" s="11">
        <f t="shared" ref="D271:D334" ca="1" si="54">RAND()</f>
        <v>0.72609312065236553</v>
      </c>
      <c r="E271" s="11">
        <f t="shared" ref="E271:E334" ca="1" si="55">LOOKUP(D271, $C$2:$C$11, $A$2:$A$11)</f>
        <v>1500</v>
      </c>
      <c r="F271" s="11">
        <f t="shared" ref="F271:F334" ca="1" si="56">RAND()</f>
        <v>0.28550586614660223</v>
      </c>
      <c r="G271" s="11">
        <f t="shared" ref="G271:G334" ca="1" si="57">LOOKUP(F271, $C$2:$C$11, $A$2:$A$11)</f>
        <v>1200</v>
      </c>
      <c r="H271" s="11">
        <f t="shared" ref="H271:H334" ca="1" si="58">MIN(C271, E271, G271)</f>
        <v>1200</v>
      </c>
      <c r="I271" s="11">
        <f t="shared" ref="I271:I334" ca="1" si="59">RAND()</f>
        <v>0.5124507928966997</v>
      </c>
      <c r="J271" s="11">
        <f t="shared" ref="J271:J334" ca="1" si="60">LOOKUP(I271, $G$2:$G$4, $E$2:$E$4)</f>
        <v>5</v>
      </c>
      <c r="K271" s="24">
        <v>96</v>
      </c>
      <c r="L271" s="24">
        <f t="shared" ref="L271:L334" ca="1" si="61">J271*10</f>
        <v>50</v>
      </c>
      <c r="M271" s="24">
        <v>400</v>
      </c>
      <c r="N271" s="24">
        <v>20</v>
      </c>
      <c r="O271" s="24">
        <f t="shared" ref="O271:O334" ca="1" si="62">K271+L271+M271+N271</f>
        <v>566</v>
      </c>
      <c r="P271" s="24">
        <v>289</v>
      </c>
      <c r="Q271" s="11">
        <f t="shared" ref="Q271:Q334" ca="1" si="63">J271*10</f>
        <v>50</v>
      </c>
      <c r="R271" s="24">
        <v>200</v>
      </c>
      <c r="S271" s="24">
        <v>10</v>
      </c>
      <c r="T271" s="24">
        <f t="shared" ref="T271:T334" ca="1" si="64">SUM(P271:S271)</f>
        <v>549</v>
      </c>
    </row>
    <row r="272" spans="1:20" x14ac:dyDescent="0.45">
      <c r="A272" s="11">
        <v>259</v>
      </c>
      <c r="B272" s="11">
        <f t="shared" ca="1" si="52"/>
        <v>0.5469059148689368</v>
      </c>
      <c r="C272" s="11">
        <f t="shared" ca="1" si="53"/>
        <v>1300</v>
      </c>
      <c r="D272" s="11">
        <f t="shared" ca="1" si="54"/>
        <v>0.46726495157839798</v>
      </c>
      <c r="E272" s="11">
        <f t="shared" ca="1" si="55"/>
        <v>1200</v>
      </c>
      <c r="F272" s="11">
        <f t="shared" ca="1" si="56"/>
        <v>0.21268579084353323</v>
      </c>
      <c r="G272" s="11">
        <f t="shared" ca="1" si="57"/>
        <v>1100</v>
      </c>
      <c r="H272" s="11">
        <f t="shared" ca="1" si="58"/>
        <v>1100</v>
      </c>
      <c r="I272" s="11">
        <f t="shared" ca="1" si="59"/>
        <v>0.65518259013633662</v>
      </c>
      <c r="J272" s="11">
        <f t="shared" ca="1" si="60"/>
        <v>10</v>
      </c>
      <c r="K272" s="24">
        <v>96</v>
      </c>
      <c r="L272" s="24">
        <f t="shared" ca="1" si="61"/>
        <v>100</v>
      </c>
      <c r="M272" s="24">
        <v>400</v>
      </c>
      <c r="N272" s="24">
        <v>20</v>
      </c>
      <c r="O272" s="24">
        <f t="shared" ca="1" si="62"/>
        <v>616</v>
      </c>
      <c r="P272" s="24">
        <v>290</v>
      </c>
      <c r="Q272" s="11">
        <f t="shared" ca="1" si="63"/>
        <v>100</v>
      </c>
      <c r="R272" s="24">
        <v>200</v>
      </c>
      <c r="S272" s="24">
        <v>10</v>
      </c>
      <c r="T272" s="24">
        <f t="shared" ca="1" si="64"/>
        <v>600</v>
      </c>
    </row>
    <row r="273" spans="1:20" x14ac:dyDescent="0.45">
      <c r="A273" s="11">
        <v>260</v>
      </c>
      <c r="B273" s="11">
        <f t="shared" ca="1" si="52"/>
        <v>0.43781536178110791</v>
      </c>
      <c r="C273" s="11">
        <f t="shared" ca="1" si="53"/>
        <v>1200</v>
      </c>
      <c r="D273" s="11">
        <f t="shared" ca="1" si="54"/>
        <v>0.8224115354987912</v>
      </c>
      <c r="E273" s="11">
        <f t="shared" ca="1" si="55"/>
        <v>1600</v>
      </c>
      <c r="F273" s="11">
        <f t="shared" ca="1" si="56"/>
        <v>0.88873443595524804</v>
      </c>
      <c r="G273" s="11">
        <f t="shared" ca="1" si="57"/>
        <v>1700</v>
      </c>
      <c r="H273" s="11">
        <f t="shared" ca="1" si="58"/>
        <v>1200</v>
      </c>
      <c r="I273" s="11">
        <f t="shared" ca="1" si="59"/>
        <v>0.60956591839980978</v>
      </c>
      <c r="J273" s="11">
        <f t="shared" ca="1" si="60"/>
        <v>10</v>
      </c>
      <c r="K273" s="24">
        <v>96</v>
      </c>
      <c r="L273" s="24">
        <f t="shared" ca="1" si="61"/>
        <v>100</v>
      </c>
      <c r="M273" s="24">
        <v>400</v>
      </c>
      <c r="N273" s="24">
        <v>20</v>
      </c>
      <c r="O273" s="24">
        <f t="shared" ca="1" si="62"/>
        <v>616</v>
      </c>
      <c r="P273" s="24">
        <v>291</v>
      </c>
      <c r="Q273" s="11">
        <f t="shared" ca="1" si="63"/>
        <v>100</v>
      </c>
      <c r="R273" s="24">
        <v>200</v>
      </c>
      <c r="S273" s="24">
        <v>10</v>
      </c>
      <c r="T273" s="24">
        <f t="shared" ca="1" si="64"/>
        <v>601</v>
      </c>
    </row>
    <row r="274" spans="1:20" x14ac:dyDescent="0.45">
      <c r="A274" s="11">
        <v>261</v>
      </c>
      <c r="B274" s="11">
        <f t="shared" ca="1" si="52"/>
        <v>4.0635857058169633E-2</v>
      </c>
      <c r="C274" s="11">
        <f t="shared" ca="1" si="53"/>
        <v>1000</v>
      </c>
      <c r="D274" s="11">
        <f t="shared" ca="1" si="54"/>
        <v>0.39062311170952102</v>
      </c>
      <c r="E274" s="11">
        <f t="shared" ca="1" si="55"/>
        <v>1200</v>
      </c>
      <c r="F274" s="11">
        <f t="shared" ca="1" si="56"/>
        <v>0.39883444803429524</v>
      </c>
      <c r="G274" s="11">
        <f t="shared" ca="1" si="57"/>
        <v>1200</v>
      </c>
      <c r="H274" s="11">
        <f t="shared" ca="1" si="58"/>
        <v>1000</v>
      </c>
      <c r="I274" s="11">
        <f t="shared" ca="1" si="59"/>
        <v>0.31861455946513917</v>
      </c>
      <c r="J274" s="11">
        <f t="shared" ca="1" si="60"/>
        <v>5</v>
      </c>
      <c r="K274" s="24">
        <v>96</v>
      </c>
      <c r="L274" s="24">
        <f t="shared" ca="1" si="61"/>
        <v>50</v>
      </c>
      <c r="M274" s="24">
        <v>400</v>
      </c>
      <c r="N274" s="24">
        <v>20</v>
      </c>
      <c r="O274" s="24">
        <f t="shared" ca="1" si="62"/>
        <v>566</v>
      </c>
      <c r="P274" s="24">
        <v>292</v>
      </c>
      <c r="Q274" s="11">
        <f t="shared" ca="1" si="63"/>
        <v>50</v>
      </c>
      <c r="R274" s="24">
        <v>200</v>
      </c>
      <c r="S274" s="24">
        <v>10</v>
      </c>
      <c r="T274" s="24">
        <f t="shared" ca="1" si="64"/>
        <v>552</v>
      </c>
    </row>
    <row r="275" spans="1:20" x14ac:dyDescent="0.45">
      <c r="A275" s="11">
        <v>262</v>
      </c>
      <c r="B275" s="11">
        <f t="shared" ca="1" si="52"/>
        <v>3.0709133464481675E-2</v>
      </c>
      <c r="C275" s="11">
        <f t="shared" ca="1" si="53"/>
        <v>1000</v>
      </c>
      <c r="D275" s="11">
        <f t="shared" ca="1" si="54"/>
        <v>0.81868334077154059</v>
      </c>
      <c r="E275" s="11">
        <f t="shared" ca="1" si="55"/>
        <v>1500</v>
      </c>
      <c r="F275" s="11">
        <f t="shared" ca="1" si="56"/>
        <v>0.813394930074676</v>
      </c>
      <c r="G275" s="11">
        <f t="shared" ca="1" si="57"/>
        <v>1500</v>
      </c>
      <c r="H275" s="11">
        <f t="shared" ca="1" si="58"/>
        <v>1000</v>
      </c>
      <c r="I275" s="11">
        <f t="shared" ca="1" si="59"/>
        <v>0.22208933868532865</v>
      </c>
      <c r="J275" s="11">
        <f t="shared" ca="1" si="60"/>
        <v>5</v>
      </c>
      <c r="K275" s="24">
        <v>96</v>
      </c>
      <c r="L275" s="24">
        <f t="shared" ca="1" si="61"/>
        <v>50</v>
      </c>
      <c r="M275" s="24">
        <v>400</v>
      </c>
      <c r="N275" s="24">
        <v>20</v>
      </c>
      <c r="O275" s="24">
        <f t="shared" ca="1" si="62"/>
        <v>566</v>
      </c>
      <c r="P275" s="24">
        <v>293</v>
      </c>
      <c r="Q275" s="11">
        <f t="shared" ca="1" si="63"/>
        <v>50</v>
      </c>
      <c r="R275" s="24">
        <v>200</v>
      </c>
      <c r="S275" s="24">
        <v>10</v>
      </c>
      <c r="T275" s="24">
        <f t="shared" ca="1" si="64"/>
        <v>553</v>
      </c>
    </row>
    <row r="276" spans="1:20" x14ac:dyDescent="0.45">
      <c r="A276" s="11">
        <v>263</v>
      </c>
      <c r="B276" s="11">
        <f t="shared" ca="1" si="52"/>
        <v>0.8469049083626411</v>
      </c>
      <c r="C276" s="11">
        <f t="shared" ca="1" si="53"/>
        <v>1700</v>
      </c>
      <c r="D276" s="11">
        <f t="shared" ca="1" si="54"/>
        <v>0.83298587950728475</v>
      </c>
      <c r="E276" s="11">
        <f t="shared" ca="1" si="55"/>
        <v>1600</v>
      </c>
      <c r="F276" s="11">
        <f t="shared" ca="1" si="56"/>
        <v>9.0535643509937702E-2</v>
      </c>
      <c r="G276" s="11">
        <f t="shared" ca="1" si="57"/>
        <v>1000</v>
      </c>
      <c r="H276" s="11">
        <f t="shared" ca="1" si="58"/>
        <v>1000</v>
      </c>
      <c r="I276" s="11">
        <f t="shared" ca="1" si="59"/>
        <v>0.10622231296344731</v>
      </c>
      <c r="J276" s="11">
        <f t="shared" ca="1" si="60"/>
        <v>5</v>
      </c>
      <c r="K276" s="24">
        <v>96</v>
      </c>
      <c r="L276" s="24">
        <f t="shared" ca="1" si="61"/>
        <v>50</v>
      </c>
      <c r="M276" s="24">
        <v>400</v>
      </c>
      <c r="N276" s="24">
        <v>20</v>
      </c>
      <c r="O276" s="24">
        <f t="shared" ca="1" si="62"/>
        <v>566</v>
      </c>
      <c r="P276" s="24">
        <v>294</v>
      </c>
      <c r="Q276" s="11">
        <f t="shared" ca="1" si="63"/>
        <v>50</v>
      </c>
      <c r="R276" s="24">
        <v>200</v>
      </c>
      <c r="S276" s="24">
        <v>10</v>
      </c>
      <c r="T276" s="24">
        <f t="shared" ca="1" si="64"/>
        <v>554</v>
      </c>
    </row>
    <row r="277" spans="1:20" x14ac:dyDescent="0.45">
      <c r="A277" s="11">
        <v>264</v>
      </c>
      <c r="B277" s="11">
        <f t="shared" ca="1" si="52"/>
        <v>0.3862995772495319</v>
      </c>
      <c r="C277" s="11">
        <f t="shared" ca="1" si="53"/>
        <v>1200</v>
      </c>
      <c r="D277" s="11">
        <f t="shared" ca="1" si="54"/>
        <v>0.86332273597431608</v>
      </c>
      <c r="E277" s="11">
        <f t="shared" ca="1" si="55"/>
        <v>1700</v>
      </c>
      <c r="F277" s="11">
        <f t="shared" ca="1" si="56"/>
        <v>0.89867872726334952</v>
      </c>
      <c r="G277" s="11">
        <f t="shared" ca="1" si="57"/>
        <v>1700</v>
      </c>
      <c r="H277" s="11">
        <f t="shared" ca="1" si="58"/>
        <v>1200</v>
      </c>
      <c r="I277" s="11">
        <f t="shared" ca="1" si="59"/>
        <v>0.49167809323135225</v>
      </c>
      <c r="J277" s="11">
        <f t="shared" ca="1" si="60"/>
        <v>5</v>
      </c>
      <c r="K277" s="24">
        <v>96</v>
      </c>
      <c r="L277" s="24">
        <f t="shared" ca="1" si="61"/>
        <v>50</v>
      </c>
      <c r="M277" s="24">
        <v>400</v>
      </c>
      <c r="N277" s="24">
        <v>20</v>
      </c>
      <c r="O277" s="24">
        <f t="shared" ca="1" si="62"/>
        <v>566</v>
      </c>
      <c r="P277" s="24">
        <v>295</v>
      </c>
      <c r="Q277" s="11">
        <f t="shared" ca="1" si="63"/>
        <v>50</v>
      </c>
      <c r="R277" s="24">
        <v>200</v>
      </c>
      <c r="S277" s="24">
        <v>10</v>
      </c>
      <c r="T277" s="24">
        <f t="shared" ca="1" si="64"/>
        <v>555</v>
      </c>
    </row>
    <row r="278" spans="1:20" x14ac:dyDescent="0.45">
      <c r="A278" s="11">
        <v>265</v>
      </c>
      <c r="B278" s="11">
        <f t="shared" ca="1" si="52"/>
        <v>0.58260076944897377</v>
      </c>
      <c r="C278" s="11">
        <f t="shared" ca="1" si="53"/>
        <v>1300</v>
      </c>
      <c r="D278" s="11">
        <f t="shared" ca="1" si="54"/>
        <v>0.41549578436790191</v>
      </c>
      <c r="E278" s="11">
        <f t="shared" ca="1" si="55"/>
        <v>1200</v>
      </c>
      <c r="F278" s="11">
        <f t="shared" ca="1" si="56"/>
        <v>0.82697653113371838</v>
      </c>
      <c r="G278" s="11">
        <f t="shared" ca="1" si="57"/>
        <v>1600</v>
      </c>
      <c r="H278" s="11">
        <f t="shared" ca="1" si="58"/>
        <v>1200</v>
      </c>
      <c r="I278" s="11">
        <f t="shared" ca="1" si="59"/>
        <v>0.30932008465590699</v>
      </c>
      <c r="J278" s="11">
        <f t="shared" ca="1" si="60"/>
        <v>5</v>
      </c>
      <c r="K278" s="24">
        <v>96</v>
      </c>
      <c r="L278" s="24">
        <f t="shared" ca="1" si="61"/>
        <v>50</v>
      </c>
      <c r="M278" s="24">
        <v>400</v>
      </c>
      <c r="N278" s="24">
        <v>20</v>
      </c>
      <c r="O278" s="24">
        <f t="shared" ca="1" si="62"/>
        <v>566</v>
      </c>
      <c r="P278" s="24">
        <v>296</v>
      </c>
      <c r="Q278" s="11">
        <f t="shared" ca="1" si="63"/>
        <v>50</v>
      </c>
      <c r="R278" s="24">
        <v>200</v>
      </c>
      <c r="S278" s="24">
        <v>10</v>
      </c>
      <c r="T278" s="24">
        <f t="shared" ca="1" si="64"/>
        <v>556</v>
      </c>
    </row>
    <row r="279" spans="1:20" x14ac:dyDescent="0.45">
      <c r="A279" s="11">
        <v>266</v>
      </c>
      <c r="B279" s="11">
        <f t="shared" ca="1" si="52"/>
        <v>0.35352869461780778</v>
      </c>
      <c r="C279" s="11">
        <f t="shared" ca="1" si="53"/>
        <v>1200</v>
      </c>
      <c r="D279" s="11">
        <f t="shared" ca="1" si="54"/>
        <v>0.80249603783012369</v>
      </c>
      <c r="E279" s="11">
        <f t="shared" ca="1" si="55"/>
        <v>1500</v>
      </c>
      <c r="F279" s="11">
        <f t="shared" ca="1" si="56"/>
        <v>0.8042699774012676</v>
      </c>
      <c r="G279" s="11">
        <f t="shared" ca="1" si="57"/>
        <v>1500</v>
      </c>
      <c r="H279" s="11">
        <f t="shared" ca="1" si="58"/>
        <v>1200</v>
      </c>
      <c r="I279" s="11">
        <f t="shared" ca="1" si="59"/>
        <v>0.55469049528234338</v>
      </c>
      <c r="J279" s="11">
        <f t="shared" ca="1" si="60"/>
        <v>5</v>
      </c>
      <c r="K279" s="24">
        <v>96</v>
      </c>
      <c r="L279" s="24">
        <f t="shared" ca="1" si="61"/>
        <v>50</v>
      </c>
      <c r="M279" s="24">
        <v>400</v>
      </c>
      <c r="N279" s="24">
        <v>20</v>
      </c>
      <c r="O279" s="24">
        <f t="shared" ca="1" si="62"/>
        <v>566</v>
      </c>
      <c r="P279" s="24">
        <v>297</v>
      </c>
      <c r="Q279" s="11">
        <f t="shared" ca="1" si="63"/>
        <v>50</v>
      </c>
      <c r="R279" s="24">
        <v>200</v>
      </c>
      <c r="S279" s="24">
        <v>10</v>
      </c>
      <c r="T279" s="24">
        <f t="shared" ca="1" si="64"/>
        <v>557</v>
      </c>
    </row>
    <row r="280" spans="1:20" x14ac:dyDescent="0.45">
      <c r="A280" s="11">
        <v>267</v>
      </c>
      <c r="B280" s="11">
        <f t="shared" ca="1" si="52"/>
        <v>0.44232362566223626</v>
      </c>
      <c r="C280" s="11">
        <f t="shared" ca="1" si="53"/>
        <v>1200</v>
      </c>
      <c r="D280" s="11">
        <f t="shared" ca="1" si="54"/>
        <v>0.81275545874283461</v>
      </c>
      <c r="E280" s="11">
        <f t="shared" ca="1" si="55"/>
        <v>1500</v>
      </c>
      <c r="F280" s="11">
        <f t="shared" ca="1" si="56"/>
        <v>0.45257523808892652</v>
      </c>
      <c r="G280" s="11">
        <f t="shared" ca="1" si="57"/>
        <v>1200</v>
      </c>
      <c r="H280" s="11">
        <f t="shared" ca="1" si="58"/>
        <v>1200</v>
      </c>
      <c r="I280" s="11">
        <f t="shared" ca="1" si="59"/>
        <v>0.6824907360767819</v>
      </c>
      <c r="J280" s="11">
        <f t="shared" ca="1" si="60"/>
        <v>10</v>
      </c>
      <c r="K280" s="24">
        <v>96</v>
      </c>
      <c r="L280" s="24">
        <f t="shared" ca="1" si="61"/>
        <v>100</v>
      </c>
      <c r="M280" s="24">
        <v>400</v>
      </c>
      <c r="N280" s="24">
        <v>20</v>
      </c>
      <c r="O280" s="24">
        <f t="shared" ca="1" si="62"/>
        <v>616</v>
      </c>
      <c r="P280" s="24">
        <v>298</v>
      </c>
      <c r="Q280" s="11">
        <f t="shared" ca="1" si="63"/>
        <v>100</v>
      </c>
      <c r="R280" s="24">
        <v>200</v>
      </c>
      <c r="S280" s="24">
        <v>10</v>
      </c>
      <c r="T280" s="24">
        <f t="shared" ca="1" si="64"/>
        <v>608</v>
      </c>
    </row>
    <row r="281" spans="1:20" x14ac:dyDescent="0.45">
      <c r="A281" s="11">
        <v>268</v>
      </c>
      <c r="B281" s="11">
        <f t="shared" ca="1" si="52"/>
        <v>0.67621877960705601</v>
      </c>
      <c r="C281" s="11">
        <f t="shared" ca="1" si="53"/>
        <v>1400</v>
      </c>
      <c r="D281" s="11">
        <f t="shared" ca="1" si="54"/>
        <v>0.64401069739861672</v>
      </c>
      <c r="E281" s="11">
        <f t="shared" ca="1" si="55"/>
        <v>1400</v>
      </c>
      <c r="F281" s="11">
        <f t="shared" ca="1" si="56"/>
        <v>0.23319530126989996</v>
      </c>
      <c r="G281" s="11">
        <f t="shared" ca="1" si="57"/>
        <v>1200</v>
      </c>
      <c r="H281" s="11">
        <f t="shared" ca="1" si="58"/>
        <v>1200</v>
      </c>
      <c r="I281" s="11">
        <f t="shared" ca="1" si="59"/>
        <v>0.34765399943638087</v>
      </c>
      <c r="J281" s="11">
        <f t="shared" ca="1" si="60"/>
        <v>5</v>
      </c>
      <c r="K281" s="24">
        <v>96</v>
      </c>
      <c r="L281" s="24">
        <f t="shared" ca="1" si="61"/>
        <v>50</v>
      </c>
      <c r="M281" s="24">
        <v>400</v>
      </c>
      <c r="N281" s="24">
        <v>20</v>
      </c>
      <c r="O281" s="24">
        <f t="shared" ca="1" si="62"/>
        <v>566</v>
      </c>
      <c r="P281" s="24">
        <v>299</v>
      </c>
      <c r="Q281" s="11">
        <f t="shared" ca="1" si="63"/>
        <v>50</v>
      </c>
      <c r="R281" s="24">
        <v>200</v>
      </c>
      <c r="S281" s="24">
        <v>10</v>
      </c>
      <c r="T281" s="24">
        <f t="shared" ca="1" si="64"/>
        <v>559</v>
      </c>
    </row>
    <row r="282" spans="1:20" x14ac:dyDescent="0.45">
      <c r="A282" s="11">
        <v>269</v>
      </c>
      <c r="B282" s="11">
        <f t="shared" ca="1" si="52"/>
        <v>0.21832738701763932</v>
      </c>
      <c r="C282" s="11">
        <f t="shared" ca="1" si="53"/>
        <v>1100</v>
      </c>
      <c r="D282" s="11">
        <f t="shared" ca="1" si="54"/>
        <v>0.79646066160208662</v>
      </c>
      <c r="E282" s="11">
        <f t="shared" ca="1" si="55"/>
        <v>1500</v>
      </c>
      <c r="F282" s="11">
        <f t="shared" ca="1" si="56"/>
        <v>3.636819358788479E-2</v>
      </c>
      <c r="G282" s="11">
        <f t="shared" ca="1" si="57"/>
        <v>1000</v>
      </c>
      <c r="H282" s="11">
        <f t="shared" ca="1" si="58"/>
        <v>1000</v>
      </c>
      <c r="I282" s="11">
        <f t="shared" ca="1" si="59"/>
        <v>0.28766211790015672</v>
      </c>
      <c r="J282" s="11">
        <f t="shared" ca="1" si="60"/>
        <v>5</v>
      </c>
      <c r="K282" s="24">
        <v>96</v>
      </c>
      <c r="L282" s="24">
        <f t="shared" ca="1" si="61"/>
        <v>50</v>
      </c>
      <c r="M282" s="24">
        <v>400</v>
      </c>
      <c r="N282" s="24">
        <v>20</v>
      </c>
      <c r="O282" s="24">
        <f t="shared" ca="1" si="62"/>
        <v>566</v>
      </c>
      <c r="P282" s="24">
        <v>300</v>
      </c>
      <c r="Q282" s="11">
        <f t="shared" ca="1" si="63"/>
        <v>50</v>
      </c>
      <c r="R282" s="24">
        <v>200</v>
      </c>
      <c r="S282" s="24">
        <v>10</v>
      </c>
      <c r="T282" s="24">
        <f t="shared" ca="1" si="64"/>
        <v>560</v>
      </c>
    </row>
    <row r="283" spans="1:20" x14ac:dyDescent="0.45">
      <c r="A283" s="11">
        <v>270</v>
      </c>
      <c r="B283" s="11">
        <f t="shared" ca="1" si="52"/>
        <v>0.87739154527880114</v>
      </c>
      <c r="C283" s="11">
        <f t="shared" ca="1" si="53"/>
        <v>1700</v>
      </c>
      <c r="D283" s="11">
        <f t="shared" ca="1" si="54"/>
        <v>0.49178962955351124</v>
      </c>
      <c r="E283" s="11">
        <f t="shared" ca="1" si="55"/>
        <v>1300</v>
      </c>
      <c r="F283" s="11">
        <f t="shared" ca="1" si="56"/>
        <v>0.59641465329119769</v>
      </c>
      <c r="G283" s="11">
        <f t="shared" ca="1" si="57"/>
        <v>1300</v>
      </c>
      <c r="H283" s="11">
        <f t="shared" ca="1" si="58"/>
        <v>1300</v>
      </c>
      <c r="I283" s="11">
        <f t="shared" ca="1" si="59"/>
        <v>0.24629425407272876</v>
      </c>
      <c r="J283" s="11">
        <f t="shared" ca="1" si="60"/>
        <v>5</v>
      </c>
      <c r="K283" s="24">
        <v>96</v>
      </c>
      <c r="L283" s="24">
        <f t="shared" ca="1" si="61"/>
        <v>50</v>
      </c>
      <c r="M283" s="24">
        <v>400</v>
      </c>
      <c r="N283" s="24">
        <v>20</v>
      </c>
      <c r="O283" s="24">
        <f t="shared" ca="1" si="62"/>
        <v>566</v>
      </c>
      <c r="P283" s="24">
        <v>301</v>
      </c>
      <c r="Q283" s="11">
        <f t="shared" ca="1" si="63"/>
        <v>50</v>
      </c>
      <c r="R283" s="24">
        <v>200</v>
      </c>
      <c r="S283" s="24">
        <v>10</v>
      </c>
      <c r="T283" s="24">
        <f t="shared" ca="1" si="64"/>
        <v>561</v>
      </c>
    </row>
    <row r="284" spans="1:20" x14ac:dyDescent="0.45">
      <c r="A284" s="11">
        <v>271</v>
      </c>
      <c r="B284" s="11">
        <f t="shared" ca="1" si="52"/>
        <v>0.97210245969739661</v>
      </c>
      <c r="C284" s="11">
        <f t="shared" ca="1" si="53"/>
        <v>1900</v>
      </c>
      <c r="D284" s="11">
        <f t="shared" ca="1" si="54"/>
        <v>0.32674604341030644</v>
      </c>
      <c r="E284" s="11">
        <f t="shared" ca="1" si="55"/>
        <v>1200</v>
      </c>
      <c r="F284" s="11">
        <f t="shared" ca="1" si="56"/>
        <v>0.31113837400335609</v>
      </c>
      <c r="G284" s="11">
        <f t="shared" ca="1" si="57"/>
        <v>1200</v>
      </c>
      <c r="H284" s="11">
        <f t="shared" ca="1" si="58"/>
        <v>1200</v>
      </c>
      <c r="I284" s="11">
        <f t="shared" ca="1" si="59"/>
        <v>0.88253615545118391</v>
      </c>
      <c r="J284" s="11">
        <f t="shared" ca="1" si="60"/>
        <v>10</v>
      </c>
      <c r="K284" s="24">
        <v>96</v>
      </c>
      <c r="L284" s="24">
        <f t="shared" ca="1" si="61"/>
        <v>100</v>
      </c>
      <c r="M284" s="24">
        <v>400</v>
      </c>
      <c r="N284" s="24">
        <v>20</v>
      </c>
      <c r="O284" s="24">
        <f t="shared" ca="1" si="62"/>
        <v>616</v>
      </c>
      <c r="P284" s="24">
        <v>302</v>
      </c>
      <c r="Q284" s="11">
        <f t="shared" ca="1" si="63"/>
        <v>100</v>
      </c>
      <c r="R284" s="24">
        <v>200</v>
      </c>
      <c r="S284" s="24">
        <v>10</v>
      </c>
      <c r="T284" s="24">
        <f t="shared" ca="1" si="64"/>
        <v>612</v>
      </c>
    </row>
    <row r="285" spans="1:20" x14ac:dyDescent="0.45">
      <c r="A285" s="11">
        <v>272</v>
      </c>
      <c r="B285" s="11">
        <f t="shared" ca="1" si="52"/>
        <v>0.76376437407819231</v>
      </c>
      <c r="C285" s="11">
        <f t="shared" ca="1" si="53"/>
        <v>1500</v>
      </c>
      <c r="D285" s="11">
        <f t="shared" ca="1" si="54"/>
        <v>0.34430419644063537</v>
      </c>
      <c r="E285" s="11">
        <f t="shared" ca="1" si="55"/>
        <v>1200</v>
      </c>
      <c r="F285" s="11">
        <f t="shared" ca="1" si="56"/>
        <v>8.3920276106008607E-2</v>
      </c>
      <c r="G285" s="11">
        <f t="shared" ca="1" si="57"/>
        <v>1000</v>
      </c>
      <c r="H285" s="11">
        <f t="shared" ca="1" si="58"/>
        <v>1000</v>
      </c>
      <c r="I285" s="11">
        <f t="shared" ca="1" si="59"/>
        <v>0.32689153725160958</v>
      </c>
      <c r="J285" s="11">
        <f t="shared" ca="1" si="60"/>
        <v>5</v>
      </c>
      <c r="K285" s="24">
        <v>96</v>
      </c>
      <c r="L285" s="24">
        <f t="shared" ca="1" si="61"/>
        <v>50</v>
      </c>
      <c r="M285" s="24">
        <v>400</v>
      </c>
      <c r="N285" s="24">
        <v>20</v>
      </c>
      <c r="O285" s="24">
        <f t="shared" ca="1" si="62"/>
        <v>566</v>
      </c>
      <c r="P285" s="24">
        <v>303</v>
      </c>
      <c r="Q285" s="11">
        <f t="shared" ca="1" si="63"/>
        <v>50</v>
      </c>
      <c r="R285" s="24">
        <v>200</v>
      </c>
      <c r="S285" s="24">
        <v>10</v>
      </c>
      <c r="T285" s="24">
        <f t="shared" ca="1" si="64"/>
        <v>563</v>
      </c>
    </row>
    <row r="286" spans="1:20" x14ac:dyDescent="0.45">
      <c r="A286" s="11">
        <v>273</v>
      </c>
      <c r="B286" s="11">
        <f t="shared" ca="1" si="52"/>
        <v>0.52975137418069351</v>
      </c>
      <c r="C286" s="11">
        <f t="shared" ca="1" si="53"/>
        <v>1300</v>
      </c>
      <c r="D286" s="11">
        <f t="shared" ca="1" si="54"/>
        <v>0.43577114214302004</v>
      </c>
      <c r="E286" s="11">
        <f t="shared" ca="1" si="55"/>
        <v>1200</v>
      </c>
      <c r="F286" s="11">
        <f t="shared" ca="1" si="56"/>
        <v>0.75721267571504602</v>
      </c>
      <c r="G286" s="11">
        <f t="shared" ca="1" si="57"/>
        <v>1500</v>
      </c>
      <c r="H286" s="11">
        <f t="shared" ca="1" si="58"/>
        <v>1200</v>
      </c>
      <c r="I286" s="11">
        <f t="shared" ca="1" si="59"/>
        <v>0.73889320296591776</v>
      </c>
      <c r="J286" s="11">
        <f t="shared" ca="1" si="60"/>
        <v>10</v>
      </c>
      <c r="K286" s="24">
        <v>96</v>
      </c>
      <c r="L286" s="24">
        <f t="shared" ca="1" si="61"/>
        <v>100</v>
      </c>
      <c r="M286" s="24">
        <v>400</v>
      </c>
      <c r="N286" s="24">
        <v>20</v>
      </c>
      <c r="O286" s="24">
        <f t="shared" ca="1" si="62"/>
        <v>616</v>
      </c>
      <c r="P286" s="24">
        <v>304</v>
      </c>
      <c r="Q286" s="11">
        <f t="shared" ca="1" si="63"/>
        <v>100</v>
      </c>
      <c r="R286" s="24">
        <v>200</v>
      </c>
      <c r="S286" s="24">
        <v>10</v>
      </c>
      <c r="T286" s="24">
        <f t="shared" ca="1" si="64"/>
        <v>614</v>
      </c>
    </row>
    <row r="287" spans="1:20" x14ac:dyDescent="0.45">
      <c r="A287" s="11">
        <v>274</v>
      </c>
      <c r="B287" s="11">
        <f t="shared" ca="1" si="52"/>
        <v>0.76717044008108459</v>
      </c>
      <c r="C287" s="11">
        <f t="shared" ca="1" si="53"/>
        <v>1500</v>
      </c>
      <c r="D287" s="11">
        <f t="shared" ca="1" si="54"/>
        <v>0.70729366030814478</v>
      </c>
      <c r="E287" s="11">
        <f t="shared" ca="1" si="55"/>
        <v>1500</v>
      </c>
      <c r="F287" s="11">
        <f t="shared" ca="1" si="56"/>
        <v>0.60613437295695693</v>
      </c>
      <c r="G287" s="11">
        <f t="shared" ca="1" si="57"/>
        <v>1300</v>
      </c>
      <c r="H287" s="11">
        <f t="shared" ca="1" si="58"/>
        <v>1300</v>
      </c>
      <c r="I287" s="11">
        <f t="shared" ca="1" si="59"/>
        <v>0.68317992634896618</v>
      </c>
      <c r="J287" s="11">
        <f t="shared" ca="1" si="60"/>
        <v>10</v>
      </c>
      <c r="K287" s="24">
        <v>96</v>
      </c>
      <c r="L287" s="24">
        <f t="shared" ca="1" si="61"/>
        <v>100</v>
      </c>
      <c r="M287" s="24">
        <v>400</v>
      </c>
      <c r="N287" s="24">
        <v>20</v>
      </c>
      <c r="O287" s="24">
        <f t="shared" ca="1" si="62"/>
        <v>616</v>
      </c>
      <c r="P287" s="24">
        <v>305</v>
      </c>
      <c r="Q287" s="11">
        <f t="shared" ca="1" si="63"/>
        <v>100</v>
      </c>
      <c r="R287" s="24">
        <v>200</v>
      </c>
      <c r="S287" s="24">
        <v>10</v>
      </c>
      <c r="T287" s="24">
        <f t="shared" ca="1" si="64"/>
        <v>615</v>
      </c>
    </row>
    <row r="288" spans="1:20" x14ac:dyDescent="0.45">
      <c r="A288" s="11">
        <v>275</v>
      </c>
      <c r="B288" s="11">
        <f t="shared" ca="1" si="52"/>
        <v>0.97894626184228395</v>
      </c>
      <c r="C288" s="11">
        <f t="shared" ca="1" si="53"/>
        <v>1900</v>
      </c>
      <c r="D288" s="11">
        <f t="shared" ca="1" si="54"/>
        <v>0.19569307525711244</v>
      </c>
      <c r="E288" s="11">
        <f t="shared" ca="1" si="55"/>
        <v>1100</v>
      </c>
      <c r="F288" s="11">
        <f t="shared" ca="1" si="56"/>
        <v>0.16129766114801058</v>
      </c>
      <c r="G288" s="11">
        <f t="shared" ca="1" si="57"/>
        <v>1100</v>
      </c>
      <c r="H288" s="11">
        <f t="shared" ca="1" si="58"/>
        <v>1100</v>
      </c>
      <c r="I288" s="11">
        <f t="shared" ca="1" si="59"/>
        <v>0.30384679378751245</v>
      </c>
      <c r="J288" s="11">
        <f t="shared" ca="1" si="60"/>
        <v>5</v>
      </c>
      <c r="K288" s="24">
        <v>96</v>
      </c>
      <c r="L288" s="24">
        <f t="shared" ca="1" si="61"/>
        <v>50</v>
      </c>
      <c r="M288" s="24">
        <v>400</v>
      </c>
      <c r="N288" s="24">
        <v>20</v>
      </c>
      <c r="O288" s="24">
        <f t="shared" ca="1" si="62"/>
        <v>566</v>
      </c>
      <c r="P288" s="24">
        <v>306</v>
      </c>
      <c r="Q288" s="11">
        <f t="shared" ca="1" si="63"/>
        <v>50</v>
      </c>
      <c r="R288" s="24">
        <v>200</v>
      </c>
      <c r="S288" s="24">
        <v>10</v>
      </c>
      <c r="T288" s="24">
        <f t="shared" ca="1" si="64"/>
        <v>566</v>
      </c>
    </row>
    <row r="289" spans="1:20" x14ac:dyDescent="0.45">
      <c r="A289" s="11">
        <v>276</v>
      </c>
      <c r="B289" s="11">
        <f t="shared" ca="1" si="52"/>
        <v>0.56609484792582598</v>
      </c>
      <c r="C289" s="11">
        <f t="shared" ca="1" si="53"/>
        <v>1300</v>
      </c>
      <c r="D289" s="11">
        <f t="shared" ca="1" si="54"/>
        <v>0.66195518920506269</v>
      </c>
      <c r="E289" s="11">
        <f t="shared" ca="1" si="55"/>
        <v>1400</v>
      </c>
      <c r="F289" s="11">
        <f t="shared" ca="1" si="56"/>
        <v>0.71440816720622591</v>
      </c>
      <c r="G289" s="11">
        <f t="shared" ca="1" si="57"/>
        <v>1500</v>
      </c>
      <c r="H289" s="11">
        <f t="shared" ca="1" si="58"/>
        <v>1300</v>
      </c>
      <c r="I289" s="11">
        <f t="shared" ca="1" si="59"/>
        <v>0.25639585861184533</v>
      </c>
      <c r="J289" s="11">
        <f t="shared" ca="1" si="60"/>
        <v>5</v>
      </c>
      <c r="K289" s="24">
        <v>96</v>
      </c>
      <c r="L289" s="24">
        <f t="shared" ca="1" si="61"/>
        <v>50</v>
      </c>
      <c r="M289" s="24">
        <v>400</v>
      </c>
      <c r="N289" s="24">
        <v>20</v>
      </c>
      <c r="O289" s="24">
        <f t="shared" ca="1" si="62"/>
        <v>566</v>
      </c>
      <c r="P289" s="24">
        <v>307</v>
      </c>
      <c r="Q289" s="11">
        <f t="shared" ca="1" si="63"/>
        <v>50</v>
      </c>
      <c r="R289" s="24">
        <v>200</v>
      </c>
      <c r="S289" s="24">
        <v>10</v>
      </c>
      <c r="T289" s="24">
        <f t="shared" ca="1" si="64"/>
        <v>567</v>
      </c>
    </row>
    <row r="290" spans="1:20" x14ac:dyDescent="0.45">
      <c r="A290" s="11">
        <v>277</v>
      </c>
      <c r="B290" s="11">
        <f t="shared" ca="1" si="52"/>
        <v>4.5490851740195404E-2</v>
      </c>
      <c r="C290" s="11">
        <f t="shared" ca="1" si="53"/>
        <v>1000</v>
      </c>
      <c r="D290" s="11">
        <f t="shared" ca="1" si="54"/>
        <v>0.76456804266133249</v>
      </c>
      <c r="E290" s="11">
        <f t="shared" ca="1" si="55"/>
        <v>1500</v>
      </c>
      <c r="F290" s="11">
        <f t="shared" ca="1" si="56"/>
        <v>0.4606530020752222</v>
      </c>
      <c r="G290" s="11">
        <f t="shared" ca="1" si="57"/>
        <v>1200</v>
      </c>
      <c r="H290" s="11">
        <f t="shared" ca="1" si="58"/>
        <v>1000</v>
      </c>
      <c r="I290" s="11">
        <f t="shared" ca="1" si="59"/>
        <v>0.15204140981002778</v>
      </c>
      <c r="J290" s="11">
        <f t="shared" ca="1" si="60"/>
        <v>5</v>
      </c>
      <c r="K290" s="24">
        <v>96</v>
      </c>
      <c r="L290" s="24">
        <f t="shared" ca="1" si="61"/>
        <v>50</v>
      </c>
      <c r="M290" s="24">
        <v>400</v>
      </c>
      <c r="N290" s="24">
        <v>20</v>
      </c>
      <c r="O290" s="24">
        <f t="shared" ca="1" si="62"/>
        <v>566</v>
      </c>
      <c r="P290" s="24">
        <v>308</v>
      </c>
      <c r="Q290" s="11">
        <f t="shared" ca="1" si="63"/>
        <v>50</v>
      </c>
      <c r="R290" s="24">
        <v>200</v>
      </c>
      <c r="S290" s="24">
        <v>10</v>
      </c>
      <c r="T290" s="24">
        <f t="shared" ca="1" si="64"/>
        <v>568</v>
      </c>
    </row>
    <row r="291" spans="1:20" x14ac:dyDescent="0.45">
      <c r="A291" s="11">
        <v>278</v>
      </c>
      <c r="B291" s="11">
        <f t="shared" ca="1" si="52"/>
        <v>0.8897447749531826</v>
      </c>
      <c r="C291" s="11">
        <f t="shared" ca="1" si="53"/>
        <v>1700</v>
      </c>
      <c r="D291" s="11">
        <f t="shared" ca="1" si="54"/>
        <v>0.74703984694532655</v>
      </c>
      <c r="E291" s="11">
        <f t="shared" ca="1" si="55"/>
        <v>1500</v>
      </c>
      <c r="F291" s="11">
        <f t="shared" ca="1" si="56"/>
        <v>0.36725232106102468</v>
      </c>
      <c r="G291" s="11">
        <f t="shared" ca="1" si="57"/>
        <v>1200</v>
      </c>
      <c r="H291" s="11">
        <f t="shared" ca="1" si="58"/>
        <v>1200</v>
      </c>
      <c r="I291" s="11">
        <f t="shared" ca="1" si="59"/>
        <v>0.69753761144017901</v>
      </c>
      <c r="J291" s="11">
        <f t="shared" ca="1" si="60"/>
        <v>10</v>
      </c>
      <c r="K291" s="24">
        <v>96</v>
      </c>
      <c r="L291" s="24">
        <f t="shared" ca="1" si="61"/>
        <v>100</v>
      </c>
      <c r="M291" s="24">
        <v>400</v>
      </c>
      <c r="N291" s="24">
        <v>20</v>
      </c>
      <c r="O291" s="24">
        <f t="shared" ca="1" si="62"/>
        <v>616</v>
      </c>
      <c r="P291" s="24">
        <v>309</v>
      </c>
      <c r="Q291" s="11">
        <f t="shared" ca="1" si="63"/>
        <v>100</v>
      </c>
      <c r="R291" s="24">
        <v>200</v>
      </c>
      <c r="S291" s="24">
        <v>10</v>
      </c>
      <c r="T291" s="24">
        <f t="shared" ca="1" si="64"/>
        <v>619</v>
      </c>
    </row>
    <row r="292" spans="1:20" x14ac:dyDescent="0.45">
      <c r="A292" s="11">
        <v>279</v>
      </c>
      <c r="B292" s="11">
        <f t="shared" ca="1" si="52"/>
        <v>0.14254049336981656</v>
      </c>
      <c r="C292" s="11">
        <f t="shared" ca="1" si="53"/>
        <v>1100</v>
      </c>
      <c r="D292" s="11">
        <f t="shared" ca="1" si="54"/>
        <v>0.87068023106579018</v>
      </c>
      <c r="E292" s="11">
        <f t="shared" ca="1" si="55"/>
        <v>1700</v>
      </c>
      <c r="F292" s="11">
        <f t="shared" ca="1" si="56"/>
        <v>0.37465493816807061</v>
      </c>
      <c r="G292" s="11">
        <f t="shared" ca="1" si="57"/>
        <v>1200</v>
      </c>
      <c r="H292" s="11">
        <f t="shared" ca="1" si="58"/>
        <v>1100</v>
      </c>
      <c r="I292" s="11">
        <f t="shared" ca="1" si="59"/>
        <v>0.58186997062975609</v>
      </c>
      <c r="J292" s="11">
        <f t="shared" ca="1" si="60"/>
        <v>5</v>
      </c>
      <c r="K292" s="24">
        <v>96</v>
      </c>
      <c r="L292" s="24">
        <f t="shared" ca="1" si="61"/>
        <v>50</v>
      </c>
      <c r="M292" s="24">
        <v>400</v>
      </c>
      <c r="N292" s="24">
        <v>20</v>
      </c>
      <c r="O292" s="24">
        <f t="shared" ca="1" si="62"/>
        <v>566</v>
      </c>
      <c r="P292" s="24">
        <v>310</v>
      </c>
      <c r="Q292" s="11">
        <f t="shared" ca="1" si="63"/>
        <v>50</v>
      </c>
      <c r="R292" s="24">
        <v>200</v>
      </c>
      <c r="S292" s="24">
        <v>10</v>
      </c>
      <c r="T292" s="24">
        <f t="shared" ca="1" si="64"/>
        <v>570</v>
      </c>
    </row>
    <row r="293" spans="1:20" x14ac:dyDescent="0.45">
      <c r="A293" s="11">
        <v>280</v>
      </c>
      <c r="B293" s="11">
        <f t="shared" ca="1" si="52"/>
        <v>0.21850771948117276</v>
      </c>
      <c r="C293" s="11">
        <f t="shared" ca="1" si="53"/>
        <v>1100</v>
      </c>
      <c r="D293" s="11">
        <f t="shared" ca="1" si="54"/>
        <v>0.14537448074629078</v>
      </c>
      <c r="E293" s="11">
        <f t="shared" ca="1" si="55"/>
        <v>1100</v>
      </c>
      <c r="F293" s="11">
        <f t="shared" ca="1" si="56"/>
        <v>0.77975820609111168</v>
      </c>
      <c r="G293" s="11">
        <f t="shared" ca="1" si="57"/>
        <v>1500</v>
      </c>
      <c r="H293" s="11">
        <f t="shared" ca="1" si="58"/>
        <v>1100</v>
      </c>
      <c r="I293" s="11">
        <f t="shared" ca="1" si="59"/>
        <v>0.65557311811527275</v>
      </c>
      <c r="J293" s="11">
        <f t="shared" ca="1" si="60"/>
        <v>10</v>
      </c>
      <c r="K293" s="24">
        <v>96</v>
      </c>
      <c r="L293" s="24">
        <f t="shared" ca="1" si="61"/>
        <v>100</v>
      </c>
      <c r="M293" s="24">
        <v>400</v>
      </c>
      <c r="N293" s="24">
        <v>20</v>
      </c>
      <c r="O293" s="24">
        <f t="shared" ca="1" si="62"/>
        <v>616</v>
      </c>
      <c r="P293" s="24">
        <v>311</v>
      </c>
      <c r="Q293" s="11">
        <f t="shared" ca="1" si="63"/>
        <v>100</v>
      </c>
      <c r="R293" s="24">
        <v>200</v>
      </c>
      <c r="S293" s="24">
        <v>10</v>
      </c>
      <c r="T293" s="24">
        <f t="shared" ca="1" si="64"/>
        <v>621</v>
      </c>
    </row>
    <row r="294" spans="1:20" x14ac:dyDescent="0.45">
      <c r="A294" s="11">
        <v>281</v>
      </c>
      <c r="B294" s="11">
        <f t="shared" ca="1" si="52"/>
        <v>0.28815076905041959</v>
      </c>
      <c r="C294" s="11">
        <f t="shared" ca="1" si="53"/>
        <v>1200</v>
      </c>
      <c r="D294" s="11">
        <f t="shared" ca="1" si="54"/>
        <v>0.50002738277121439</v>
      </c>
      <c r="E294" s="11">
        <f t="shared" ca="1" si="55"/>
        <v>1300</v>
      </c>
      <c r="F294" s="11">
        <f t="shared" ca="1" si="56"/>
        <v>0.53744018442553543</v>
      </c>
      <c r="G294" s="11">
        <f t="shared" ca="1" si="57"/>
        <v>1300</v>
      </c>
      <c r="H294" s="11">
        <f t="shared" ca="1" si="58"/>
        <v>1200</v>
      </c>
      <c r="I294" s="11">
        <f t="shared" ca="1" si="59"/>
        <v>0.28813876625839829</v>
      </c>
      <c r="J294" s="11">
        <f t="shared" ca="1" si="60"/>
        <v>5</v>
      </c>
      <c r="K294" s="24">
        <v>96</v>
      </c>
      <c r="L294" s="24">
        <f t="shared" ca="1" si="61"/>
        <v>50</v>
      </c>
      <c r="M294" s="24">
        <v>400</v>
      </c>
      <c r="N294" s="24">
        <v>20</v>
      </c>
      <c r="O294" s="24">
        <f t="shared" ca="1" si="62"/>
        <v>566</v>
      </c>
      <c r="P294" s="24">
        <v>312</v>
      </c>
      <c r="Q294" s="11">
        <f t="shared" ca="1" si="63"/>
        <v>50</v>
      </c>
      <c r="R294" s="24">
        <v>200</v>
      </c>
      <c r="S294" s="24">
        <v>10</v>
      </c>
      <c r="T294" s="24">
        <f t="shared" ca="1" si="64"/>
        <v>572</v>
      </c>
    </row>
    <row r="295" spans="1:20" x14ac:dyDescent="0.45">
      <c r="A295" s="11">
        <v>282</v>
      </c>
      <c r="B295" s="11">
        <f t="shared" ca="1" si="52"/>
        <v>0.69148939880757021</v>
      </c>
      <c r="C295" s="11">
        <f t="shared" ca="1" si="53"/>
        <v>1400</v>
      </c>
      <c r="D295" s="11">
        <f t="shared" ca="1" si="54"/>
        <v>0.90185718257560943</v>
      </c>
      <c r="E295" s="11">
        <f t="shared" ca="1" si="55"/>
        <v>1800</v>
      </c>
      <c r="F295" s="11">
        <f t="shared" ca="1" si="56"/>
        <v>0.26627073846670923</v>
      </c>
      <c r="G295" s="11">
        <f t="shared" ca="1" si="57"/>
        <v>1200</v>
      </c>
      <c r="H295" s="11">
        <f t="shared" ca="1" si="58"/>
        <v>1200</v>
      </c>
      <c r="I295" s="11">
        <f t="shared" ca="1" si="59"/>
        <v>0.85383547685935812</v>
      </c>
      <c r="J295" s="11">
        <f t="shared" ca="1" si="60"/>
        <v>10</v>
      </c>
      <c r="K295" s="24">
        <v>96</v>
      </c>
      <c r="L295" s="24">
        <f t="shared" ca="1" si="61"/>
        <v>100</v>
      </c>
      <c r="M295" s="24">
        <v>400</v>
      </c>
      <c r="N295" s="24">
        <v>20</v>
      </c>
      <c r="O295" s="24">
        <f t="shared" ca="1" si="62"/>
        <v>616</v>
      </c>
      <c r="P295" s="24">
        <v>313</v>
      </c>
      <c r="Q295" s="11">
        <f t="shared" ca="1" si="63"/>
        <v>100</v>
      </c>
      <c r="R295" s="24">
        <v>200</v>
      </c>
      <c r="S295" s="24">
        <v>10</v>
      </c>
      <c r="T295" s="24">
        <f t="shared" ca="1" si="64"/>
        <v>623</v>
      </c>
    </row>
    <row r="296" spans="1:20" x14ac:dyDescent="0.45">
      <c r="A296" s="11">
        <v>283</v>
      </c>
      <c r="B296" s="11">
        <f t="shared" ca="1" si="52"/>
        <v>2.7865677199265693E-2</v>
      </c>
      <c r="C296" s="11">
        <f t="shared" ca="1" si="53"/>
        <v>1000</v>
      </c>
      <c r="D296" s="11">
        <f t="shared" ca="1" si="54"/>
        <v>0.57456239721777069</v>
      </c>
      <c r="E296" s="11">
        <f t="shared" ca="1" si="55"/>
        <v>1300</v>
      </c>
      <c r="F296" s="11">
        <f t="shared" ca="1" si="56"/>
        <v>0.82795122828823831</v>
      </c>
      <c r="G296" s="11">
        <f t="shared" ca="1" si="57"/>
        <v>1600</v>
      </c>
      <c r="H296" s="11">
        <f t="shared" ca="1" si="58"/>
        <v>1000</v>
      </c>
      <c r="I296" s="11">
        <f t="shared" ca="1" si="59"/>
        <v>0.69521558786654936</v>
      </c>
      <c r="J296" s="11">
        <f t="shared" ca="1" si="60"/>
        <v>10</v>
      </c>
      <c r="K296" s="24">
        <v>96</v>
      </c>
      <c r="L296" s="24">
        <f t="shared" ca="1" si="61"/>
        <v>100</v>
      </c>
      <c r="M296" s="24">
        <v>400</v>
      </c>
      <c r="N296" s="24">
        <v>20</v>
      </c>
      <c r="O296" s="24">
        <f t="shared" ca="1" si="62"/>
        <v>616</v>
      </c>
      <c r="P296" s="24">
        <v>314</v>
      </c>
      <c r="Q296" s="11">
        <f t="shared" ca="1" si="63"/>
        <v>100</v>
      </c>
      <c r="R296" s="24">
        <v>200</v>
      </c>
      <c r="S296" s="24">
        <v>10</v>
      </c>
      <c r="T296" s="24">
        <f t="shared" ca="1" si="64"/>
        <v>624</v>
      </c>
    </row>
    <row r="297" spans="1:20" x14ac:dyDescent="0.45">
      <c r="A297" s="11">
        <v>284</v>
      </c>
      <c r="B297" s="11">
        <f t="shared" ca="1" si="52"/>
        <v>0.21813998429193615</v>
      </c>
      <c r="C297" s="11">
        <f t="shared" ca="1" si="53"/>
        <v>1100</v>
      </c>
      <c r="D297" s="11">
        <f t="shared" ca="1" si="54"/>
        <v>0.18333253548564099</v>
      </c>
      <c r="E297" s="11">
        <f t="shared" ca="1" si="55"/>
        <v>1100</v>
      </c>
      <c r="F297" s="11">
        <f t="shared" ca="1" si="56"/>
        <v>0.97241473884949092</v>
      </c>
      <c r="G297" s="11">
        <f t="shared" ca="1" si="57"/>
        <v>1900</v>
      </c>
      <c r="H297" s="11">
        <f t="shared" ca="1" si="58"/>
        <v>1100</v>
      </c>
      <c r="I297" s="11">
        <f t="shared" ca="1" si="59"/>
        <v>0.9916143566600687</v>
      </c>
      <c r="J297" s="11">
        <f t="shared" ca="1" si="60"/>
        <v>15</v>
      </c>
      <c r="K297" s="24">
        <v>96</v>
      </c>
      <c r="L297" s="24">
        <f t="shared" ca="1" si="61"/>
        <v>150</v>
      </c>
      <c r="M297" s="24">
        <v>400</v>
      </c>
      <c r="N297" s="24">
        <v>20</v>
      </c>
      <c r="O297" s="24">
        <f t="shared" ca="1" si="62"/>
        <v>666</v>
      </c>
      <c r="P297" s="24">
        <v>315</v>
      </c>
      <c r="Q297" s="11">
        <f t="shared" ca="1" si="63"/>
        <v>150</v>
      </c>
      <c r="R297" s="24">
        <v>200</v>
      </c>
      <c r="S297" s="24">
        <v>10</v>
      </c>
      <c r="T297" s="24">
        <f t="shared" ca="1" si="64"/>
        <v>675</v>
      </c>
    </row>
    <row r="298" spans="1:20" x14ac:dyDescent="0.45">
      <c r="A298" s="11">
        <v>285</v>
      </c>
      <c r="B298" s="11">
        <f t="shared" ca="1" si="52"/>
        <v>0.63945017392238745</v>
      </c>
      <c r="C298" s="11">
        <f t="shared" ca="1" si="53"/>
        <v>1400</v>
      </c>
      <c r="D298" s="11">
        <f t="shared" ca="1" si="54"/>
        <v>0.72509398567322514</v>
      </c>
      <c r="E298" s="11">
        <f t="shared" ca="1" si="55"/>
        <v>1500</v>
      </c>
      <c r="F298" s="11">
        <f t="shared" ca="1" si="56"/>
        <v>0.34308258099142941</v>
      </c>
      <c r="G298" s="11">
        <f t="shared" ca="1" si="57"/>
        <v>1200</v>
      </c>
      <c r="H298" s="11">
        <f t="shared" ca="1" si="58"/>
        <v>1200</v>
      </c>
      <c r="I298" s="11">
        <f t="shared" ca="1" si="59"/>
        <v>0.52017544000741578</v>
      </c>
      <c r="J298" s="11">
        <f t="shared" ca="1" si="60"/>
        <v>5</v>
      </c>
      <c r="K298" s="24">
        <v>96</v>
      </c>
      <c r="L298" s="24">
        <f t="shared" ca="1" si="61"/>
        <v>50</v>
      </c>
      <c r="M298" s="24">
        <v>400</v>
      </c>
      <c r="N298" s="24">
        <v>20</v>
      </c>
      <c r="O298" s="24">
        <f t="shared" ca="1" si="62"/>
        <v>566</v>
      </c>
      <c r="P298" s="24">
        <v>316</v>
      </c>
      <c r="Q298" s="11">
        <f t="shared" ca="1" si="63"/>
        <v>50</v>
      </c>
      <c r="R298" s="24">
        <v>200</v>
      </c>
      <c r="S298" s="24">
        <v>10</v>
      </c>
      <c r="T298" s="24">
        <f t="shared" ca="1" si="64"/>
        <v>576</v>
      </c>
    </row>
    <row r="299" spans="1:20" x14ac:dyDescent="0.45">
      <c r="A299" s="11">
        <v>286</v>
      </c>
      <c r="B299" s="11">
        <f t="shared" ca="1" si="52"/>
        <v>0.8978740965162253</v>
      </c>
      <c r="C299" s="11">
        <f t="shared" ca="1" si="53"/>
        <v>1700</v>
      </c>
      <c r="D299" s="11">
        <f t="shared" ca="1" si="54"/>
        <v>0.72708311159434902</v>
      </c>
      <c r="E299" s="11">
        <f t="shared" ca="1" si="55"/>
        <v>1500</v>
      </c>
      <c r="F299" s="11">
        <f t="shared" ca="1" si="56"/>
        <v>0.18483903546902414</v>
      </c>
      <c r="G299" s="11">
        <f t="shared" ca="1" si="57"/>
        <v>1100</v>
      </c>
      <c r="H299" s="11">
        <f t="shared" ca="1" si="58"/>
        <v>1100</v>
      </c>
      <c r="I299" s="11">
        <f t="shared" ca="1" si="59"/>
        <v>0.86033316242296121</v>
      </c>
      <c r="J299" s="11">
        <f t="shared" ca="1" si="60"/>
        <v>10</v>
      </c>
      <c r="K299" s="24">
        <v>96</v>
      </c>
      <c r="L299" s="24">
        <f t="shared" ca="1" si="61"/>
        <v>100</v>
      </c>
      <c r="M299" s="24">
        <v>400</v>
      </c>
      <c r="N299" s="24">
        <v>20</v>
      </c>
      <c r="O299" s="24">
        <f t="shared" ca="1" si="62"/>
        <v>616</v>
      </c>
      <c r="P299" s="24">
        <v>317</v>
      </c>
      <c r="Q299" s="11">
        <f t="shared" ca="1" si="63"/>
        <v>100</v>
      </c>
      <c r="R299" s="24">
        <v>200</v>
      </c>
      <c r="S299" s="24">
        <v>10</v>
      </c>
      <c r="T299" s="24">
        <f t="shared" ca="1" si="64"/>
        <v>627</v>
      </c>
    </row>
    <row r="300" spans="1:20" x14ac:dyDescent="0.45">
      <c r="A300" s="11">
        <v>287</v>
      </c>
      <c r="B300" s="11">
        <f t="shared" ca="1" si="52"/>
        <v>0.8925262213694839</v>
      </c>
      <c r="C300" s="11">
        <f t="shared" ca="1" si="53"/>
        <v>1700</v>
      </c>
      <c r="D300" s="11">
        <f t="shared" ca="1" si="54"/>
        <v>0.52752751920194729</v>
      </c>
      <c r="E300" s="11">
        <f t="shared" ca="1" si="55"/>
        <v>1300</v>
      </c>
      <c r="F300" s="11">
        <f t="shared" ca="1" si="56"/>
        <v>4.8761515690985524E-2</v>
      </c>
      <c r="G300" s="11">
        <f t="shared" ca="1" si="57"/>
        <v>1000</v>
      </c>
      <c r="H300" s="11">
        <f t="shared" ca="1" si="58"/>
        <v>1000</v>
      </c>
      <c r="I300" s="11">
        <f t="shared" ca="1" si="59"/>
        <v>0.52904303959014365</v>
      </c>
      <c r="J300" s="11">
        <f t="shared" ca="1" si="60"/>
        <v>5</v>
      </c>
      <c r="K300" s="24">
        <v>96</v>
      </c>
      <c r="L300" s="24">
        <f t="shared" ca="1" si="61"/>
        <v>50</v>
      </c>
      <c r="M300" s="24">
        <v>400</v>
      </c>
      <c r="N300" s="24">
        <v>20</v>
      </c>
      <c r="O300" s="24">
        <f t="shared" ca="1" si="62"/>
        <v>566</v>
      </c>
      <c r="P300" s="24">
        <v>318</v>
      </c>
      <c r="Q300" s="11">
        <f t="shared" ca="1" si="63"/>
        <v>50</v>
      </c>
      <c r="R300" s="24">
        <v>200</v>
      </c>
      <c r="S300" s="24">
        <v>10</v>
      </c>
      <c r="T300" s="24">
        <f t="shared" ca="1" si="64"/>
        <v>578</v>
      </c>
    </row>
    <row r="301" spans="1:20" x14ac:dyDescent="0.45">
      <c r="A301" s="11">
        <v>288</v>
      </c>
      <c r="B301" s="11">
        <f t="shared" ca="1" si="52"/>
        <v>0.16707063869990657</v>
      </c>
      <c r="C301" s="11">
        <f t="shared" ca="1" si="53"/>
        <v>1100</v>
      </c>
      <c r="D301" s="11">
        <f t="shared" ca="1" si="54"/>
        <v>0.80489249070615831</v>
      </c>
      <c r="E301" s="11">
        <f t="shared" ca="1" si="55"/>
        <v>1500</v>
      </c>
      <c r="F301" s="11">
        <f t="shared" ca="1" si="56"/>
        <v>0.54346431211375035</v>
      </c>
      <c r="G301" s="11">
        <f t="shared" ca="1" si="57"/>
        <v>1300</v>
      </c>
      <c r="H301" s="11">
        <f t="shared" ca="1" si="58"/>
        <v>1100</v>
      </c>
      <c r="I301" s="11">
        <f t="shared" ca="1" si="59"/>
        <v>0.58673137984504731</v>
      </c>
      <c r="J301" s="11">
        <f t="shared" ca="1" si="60"/>
        <v>5</v>
      </c>
      <c r="K301" s="24">
        <v>96</v>
      </c>
      <c r="L301" s="24">
        <f t="shared" ca="1" si="61"/>
        <v>50</v>
      </c>
      <c r="M301" s="24">
        <v>400</v>
      </c>
      <c r="N301" s="24">
        <v>20</v>
      </c>
      <c r="O301" s="24">
        <f t="shared" ca="1" si="62"/>
        <v>566</v>
      </c>
      <c r="P301" s="24">
        <v>319</v>
      </c>
      <c r="Q301" s="11">
        <f t="shared" ca="1" si="63"/>
        <v>50</v>
      </c>
      <c r="R301" s="24">
        <v>200</v>
      </c>
      <c r="S301" s="24">
        <v>10</v>
      </c>
      <c r="T301" s="24">
        <f t="shared" ca="1" si="64"/>
        <v>579</v>
      </c>
    </row>
    <row r="302" spans="1:20" x14ac:dyDescent="0.45">
      <c r="A302" s="11">
        <v>289</v>
      </c>
      <c r="B302" s="11">
        <f t="shared" ca="1" si="52"/>
        <v>3.1540886398417012E-2</v>
      </c>
      <c r="C302" s="11">
        <f t="shared" ca="1" si="53"/>
        <v>1000</v>
      </c>
      <c r="D302" s="11">
        <f t="shared" ca="1" si="54"/>
        <v>4.8434638258622376E-2</v>
      </c>
      <c r="E302" s="11">
        <f t="shared" ca="1" si="55"/>
        <v>1000</v>
      </c>
      <c r="F302" s="11">
        <f t="shared" ca="1" si="56"/>
        <v>0.16179824682441579</v>
      </c>
      <c r="G302" s="11">
        <f t="shared" ca="1" si="57"/>
        <v>1100</v>
      </c>
      <c r="H302" s="11">
        <f t="shared" ca="1" si="58"/>
        <v>1000</v>
      </c>
      <c r="I302" s="11">
        <f t="shared" ca="1" si="59"/>
        <v>0.26558729795544134</v>
      </c>
      <c r="J302" s="11">
        <f t="shared" ca="1" si="60"/>
        <v>5</v>
      </c>
      <c r="K302" s="24">
        <v>96</v>
      </c>
      <c r="L302" s="24">
        <f t="shared" ca="1" si="61"/>
        <v>50</v>
      </c>
      <c r="M302" s="24">
        <v>400</v>
      </c>
      <c r="N302" s="24">
        <v>20</v>
      </c>
      <c r="O302" s="24">
        <f t="shared" ca="1" si="62"/>
        <v>566</v>
      </c>
      <c r="P302" s="24">
        <v>320</v>
      </c>
      <c r="Q302" s="11">
        <f t="shared" ca="1" si="63"/>
        <v>50</v>
      </c>
      <c r="R302" s="24">
        <v>200</v>
      </c>
      <c r="S302" s="24">
        <v>10</v>
      </c>
      <c r="T302" s="24">
        <f t="shared" ca="1" si="64"/>
        <v>580</v>
      </c>
    </row>
    <row r="303" spans="1:20" x14ac:dyDescent="0.45">
      <c r="A303" s="11">
        <v>290</v>
      </c>
      <c r="B303" s="11">
        <f t="shared" ca="1" si="52"/>
        <v>0.39501543180797816</v>
      </c>
      <c r="C303" s="11">
        <f t="shared" ca="1" si="53"/>
        <v>1200</v>
      </c>
      <c r="D303" s="11">
        <f t="shared" ca="1" si="54"/>
        <v>0.50041373175975046</v>
      </c>
      <c r="E303" s="11">
        <f t="shared" ca="1" si="55"/>
        <v>1300</v>
      </c>
      <c r="F303" s="11">
        <f t="shared" ca="1" si="56"/>
        <v>5.2955673428206396E-2</v>
      </c>
      <c r="G303" s="11">
        <f t="shared" ca="1" si="57"/>
        <v>1000</v>
      </c>
      <c r="H303" s="11">
        <f t="shared" ca="1" si="58"/>
        <v>1000</v>
      </c>
      <c r="I303" s="11">
        <f t="shared" ca="1" si="59"/>
        <v>0.22231416391497327</v>
      </c>
      <c r="J303" s="11">
        <f t="shared" ca="1" si="60"/>
        <v>5</v>
      </c>
      <c r="K303" s="24">
        <v>96</v>
      </c>
      <c r="L303" s="24">
        <f t="shared" ca="1" si="61"/>
        <v>50</v>
      </c>
      <c r="M303" s="24">
        <v>400</v>
      </c>
      <c r="N303" s="24">
        <v>20</v>
      </c>
      <c r="O303" s="24">
        <f t="shared" ca="1" si="62"/>
        <v>566</v>
      </c>
      <c r="P303" s="24">
        <v>321</v>
      </c>
      <c r="Q303" s="11">
        <f t="shared" ca="1" si="63"/>
        <v>50</v>
      </c>
      <c r="R303" s="24">
        <v>200</v>
      </c>
      <c r="S303" s="24">
        <v>10</v>
      </c>
      <c r="T303" s="24">
        <f t="shared" ca="1" si="64"/>
        <v>581</v>
      </c>
    </row>
    <row r="304" spans="1:20" x14ac:dyDescent="0.45">
      <c r="A304" s="11">
        <v>291</v>
      </c>
      <c r="B304" s="11">
        <f t="shared" ca="1" si="52"/>
        <v>1.0321616619404783E-2</v>
      </c>
      <c r="C304" s="11">
        <f t="shared" ca="1" si="53"/>
        <v>1000</v>
      </c>
      <c r="D304" s="11">
        <f t="shared" ca="1" si="54"/>
        <v>6.5252376126199052E-2</v>
      </c>
      <c r="E304" s="11">
        <f t="shared" ca="1" si="55"/>
        <v>1000</v>
      </c>
      <c r="F304" s="11">
        <f t="shared" ca="1" si="56"/>
        <v>0.99832608624617591</v>
      </c>
      <c r="G304" s="11">
        <f t="shared" ca="1" si="57"/>
        <v>1900</v>
      </c>
      <c r="H304" s="11">
        <f t="shared" ca="1" si="58"/>
        <v>1000</v>
      </c>
      <c r="I304" s="11">
        <f t="shared" ca="1" si="59"/>
        <v>0.17510996078587382</v>
      </c>
      <c r="J304" s="11">
        <f t="shared" ca="1" si="60"/>
        <v>5</v>
      </c>
      <c r="K304" s="24">
        <v>96</v>
      </c>
      <c r="L304" s="24">
        <f t="shared" ca="1" si="61"/>
        <v>50</v>
      </c>
      <c r="M304" s="24">
        <v>400</v>
      </c>
      <c r="N304" s="24">
        <v>20</v>
      </c>
      <c r="O304" s="24">
        <f t="shared" ca="1" si="62"/>
        <v>566</v>
      </c>
      <c r="P304" s="24">
        <v>322</v>
      </c>
      <c r="Q304" s="11">
        <f t="shared" ca="1" si="63"/>
        <v>50</v>
      </c>
      <c r="R304" s="24">
        <v>200</v>
      </c>
      <c r="S304" s="24">
        <v>10</v>
      </c>
      <c r="T304" s="24">
        <f t="shared" ca="1" si="64"/>
        <v>582</v>
      </c>
    </row>
    <row r="305" spans="1:20" x14ac:dyDescent="0.45">
      <c r="A305" s="11">
        <v>292</v>
      </c>
      <c r="B305" s="11">
        <f t="shared" ca="1" si="52"/>
        <v>0.40464021839161601</v>
      </c>
      <c r="C305" s="11">
        <f t="shared" ca="1" si="53"/>
        <v>1200</v>
      </c>
      <c r="D305" s="11">
        <f t="shared" ca="1" si="54"/>
        <v>0.79056209570632319</v>
      </c>
      <c r="E305" s="11">
        <f t="shared" ca="1" si="55"/>
        <v>1500</v>
      </c>
      <c r="F305" s="11">
        <f t="shared" ca="1" si="56"/>
        <v>0.29239810655782428</v>
      </c>
      <c r="G305" s="11">
        <f t="shared" ca="1" si="57"/>
        <v>1200</v>
      </c>
      <c r="H305" s="11">
        <f t="shared" ca="1" si="58"/>
        <v>1200</v>
      </c>
      <c r="I305" s="11">
        <f t="shared" ca="1" si="59"/>
        <v>0.1082643570661469</v>
      </c>
      <c r="J305" s="11">
        <f t="shared" ca="1" si="60"/>
        <v>5</v>
      </c>
      <c r="K305" s="24">
        <v>96</v>
      </c>
      <c r="L305" s="24">
        <f t="shared" ca="1" si="61"/>
        <v>50</v>
      </c>
      <c r="M305" s="24">
        <v>400</v>
      </c>
      <c r="N305" s="24">
        <v>20</v>
      </c>
      <c r="O305" s="24">
        <f t="shared" ca="1" si="62"/>
        <v>566</v>
      </c>
      <c r="P305" s="24">
        <v>323</v>
      </c>
      <c r="Q305" s="11">
        <f t="shared" ca="1" si="63"/>
        <v>50</v>
      </c>
      <c r="R305" s="24">
        <v>200</v>
      </c>
      <c r="S305" s="24">
        <v>10</v>
      </c>
      <c r="T305" s="24">
        <f t="shared" ca="1" si="64"/>
        <v>583</v>
      </c>
    </row>
    <row r="306" spans="1:20" x14ac:dyDescent="0.45">
      <c r="A306" s="11">
        <v>293</v>
      </c>
      <c r="B306" s="11">
        <f t="shared" ca="1" si="52"/>
        <v>0.2900316452855789</v>
      </c>
      <c r="C306" s="11">
        <f t="shared" ca="1" si="53"/>
        <v>1200</v>
      </c>
      <c r="D306" s="11">
        <f t="shared" ca="1" si="54"/>
        <v>0.22943722223265917</v>
      </c>
      <c r="E306" s="11">
        <f t="shared" ca="1" si="55"/>
        <v>1100</v>
      </c>
      <c r="F306" s="11">
        <f t="shared" ca="1" si="56"/>
        <v>0.70523962723382172</v>
      </c>
      <c r="G306" s="11">
        <f t="shared" ca="1" si="57"/>
        <v>1500</v>
      </c>
      <c r="H306" s="11">
        <f t="shared" ca="1" si="58"/>
        <v>1100</v>
      </c>
      <c r="I306" s="11">
        <f t="shared" ca="1" si="59"/>
        <v>0.83250775154002676</v>
      </c>
      <c r="J306" s="11">
        <f t="shared" ca="1" si="60"/>
        <v>10</v>
      </c>
      <c r="K306" s="24">
        <v>96</v>
      </c>
      <c r="L306" s="24">
        <f t="shared" ca="1" si="61"/>
        <v>100</v>
      </c>
      <c r="M306" s="24">
        <v>400</v>
      </c>
      <c r="N306" s="24">
        <v>20</v>
      </c>
      <c r="O306" s="24">
        <f t="shared" ca="1" si="62"/>
        <v>616</v>
      </c>
      <c r="P306" s="24">
        <v>324</v>
      </c>
      <c r="Q306" s="11">
        <f t="shared" ca="1" si="63"/>
        <v>100</v>
      </c>
      <c r="R306" s="24">
        <v>200</v>
      </c>
      <c r="S306" s="24">
        <v>10</v>
      </c>
      <c r="T306" s="24">
        <f t="shared" ca="1" si="64"/>
        <v>634</v>
      </c>
    </row>
    <row r="307" spans="1:20" x14ac:dyDescent="0.45">
      <c r="A307" s="11">
        <v>294</v>
      </c>
      <c r="B307" s="11">
        <f t="shared" ca="1" si="52"/>
        <v>0.9569213251739952</v>
      </c>
      <c r="C307" s="11">
        <f t="shared" ca="1" si="53"/>
        <v>1900</v>
      </c>
      <c r="D307" s="11">
        <f t="shared" ca="1" si="54"/>
        <v>0.58549985342440558</v>
      </c>
      <c r="E307" s="11">
        <f t="shared" ca="1" si="55"/>
        <v>1300</v>
      </c>
      <c r="F307" s="11">
        <f t="shared" ca="1" si="56"/>
        <v>0.72889182333408042</v>
      </c>
      <c r="G307" s="11">
        <f t="shared" ca="1" si="57"/>
        <v>1500</v>
      </c>
      <c r="H307" s="11">
        <f t="shared" ca="1" si="58"/>
        <v>1300</v>
      </c>
      <c r="I307" s="11">
        <f t="shared" ca="1" si="59"/>
        <v>0.21647643091106739</v>
      </c>
      <c r="J307" s="11">
        <f t="shared" ca="1" si="60"/>
        <v>5</v>
      </c>
      <c r="K307" s="24">
        <v>96</v>
      </c>
      <c r="L307" s="24">
        <f t="shared" ca="1" si="61"/>
        <v>50</v>
      </c>
      <c r="M307" s="24">
        <v>400</v>
      </c>
      <c r="N307" s="24">
        <v>20</v>
      </c>
      <c r="O307" s="24">
        <f t="shared" ca="1" si="62"/>
        <v>566</v>
      </c>
      <c r="P307" s="24">
        <v>325</v>
      </c>
      <c r="Q307" s="11">
        <f t="shared" ca="1" si="63"/>
        <v>50</v>
      </c>
      <c r="R307" s="24">
        <v>200</v>
      </c>
      <c r="S307" s="24">
        <v>10</v>
      </c>
      <c r="T307" s="24">
        <f t="shared" ca="1" si="64"/>
        <v>585</v>
      </c>
    </row>
    <row r="308" spans="1:20" x14ac:dyDescent="0.45">
      <c r="A308" s="11">
        <v>295</v>
      </c>
      <c r="B308" s="11">
        <f t="shared" ca="1" si="52"/>
        <v>0.36350353822746273</v>
      </c>
      <c r="C308" s="11">
        <f t="shared" ca="1" si="53"/>
        <v>1200</v>
      </c>
      <c r="D308" s="11">
        <f t="shared" ca="1" si="54"/>
        <v>0.19774474070770309</v>
      </c>
      <c r="E308" s="11">
        <f t="shared" ca="1" si="55"/>
        <v>1100</v>
      </c>
      <c r="F308" s="11">
        <f t="shared" ca="1" si="56"/>
        <v>9.7568103419966912E-2</v>
      </c>
      <c r="G308" s="11">
        <f t="shared" ca="1" si="57"/>
        <v>1000</v>
      </c>
      <c r="H308" s="11">
        <f t="shared" ca="1" si="58"/>
        <v>1000</v>
      </c>
      <c r="I308" s="11">
        <f t="shared" ca="1" si="59"/>
        <v>0.524468847418194</v>
      </c>
      <c r="J308" s="11">
        <f t="shared" ca="1" si="60"/>
        <v>5</v>
      </c>
      <c r="K308" s="24">
        <v>96</v>
      </c>
      <c r="L308" s="24">
        <f t="shared" ca="1" si="61"/>
        <v>50</v>
      </c>
      <c r="M308" s="24">
        <v>400</v>
      </c>
      <c r="N308" s="24">
        <v>20</v>
      </c>
      <c r="O308" s="24">
        <f t="shared" ca="1" si="62"/>
        <v>566</v>
      </c>
      <c r="P308" s="24">
        <v>326</v>
      </c>
      <c r="Q308" s="11">
        <f t="shared" ca="1" si="63"/>
        <v>50</v>
      </c>
      <c r="R308" s="24">
        <v>200</v>
      </c>
      <c r="S308" s="24">
        <v>10</v>
      </c>
      <c r="T308" s="24">
        <f t="shared" ca="1" si="64"/>
        <v>586</v>
      </c>
    </row>
    <row r="309" spans="1:20" x14ac:dyDescent="0.45">
      <c r="A309" s="11">
        <v>296</v>
      </c>
      <c r="B309" s="11">
        <f t="shared" ca="1" si="52"/>
        <v>9.8097131534146564E-2</v>
      </c>
      <c r="C309" s="11">
        <f t="shared" ca="1" si="53"/>
        <v>1000</v>
      </c>
      <c r="D309" s="11">
        <f t="shared" ca="1" si="54"/>
        <v>0.39572568374432782</v>
      </c>
      <c r="E309" s="11">
        <f t="shared" ca="1" si="55"/>
        <v>1200</v>
      </c>
      <c r="F309" s="11">
        <f t="shared" ca="1" si="56"/>
        <v>0.90480568887094626</v>
      </c>
      <c r="G309" s="11">
        <f t="shared" ca="1" si="57"/>
        <v>1800</v>
      </c>
      <c r="H309" s="11">
        <f t="shared" ca="1" si="58"/>
        <v>1000</v>
      </c>
      <c r="I309" s="11">
        <f t="shared" ca="1" si="59"/>
        <v>0.88180114503678797</v>
      </c>
      <c r="J309" s="11">
        <f t="shared" ca="1" si="60"/>
        <v>10</v>
      </c>
      <c r="K309" s="24">
        <v>96</v>
      </c>
      <c r="L309" s="24">
        <f t="shared" ca="1" si="61"/>
        <v>100</v>
      </c>
      <c r="M309" s="24">
        <v>400</v>
      </c>
      <c r="N309" s="24">
        <v>20</v>
      </c>
      <c r="O309" s="24">
        <f t="shared" ca="1" si="62"/>
        <v>616</v>
      </c>
      <c r="P309" s="24">
        <v>327</v>
      </c>
      <c r="Q309" s="11">
        <f t="shared" ca="1" si="63"/>
        <v>100</v>
      </c>
      <c r="R309" s="24">
        <v>200</v>
      </c>
      <c r="S309" s="24">
        <v>10</v>
      </c>
      <c r="T309" s="24">
        <f t="shared" ca="1" si="64"/>
        <v>637</v>
      </c>
    </row>
    <row r="310" spans="1:20" x14ac:dyDescent="0.45">
      <c r="A310" s="11">
        <v>297</v>
      </c>
      <c r="B310" s="11">
        <f t="shared" ca="1" si="52"/>
        <v>0.79026333483950462</v>
      </c>
      <c r="C310" s="11">
        <f t="shared" ca="1" si="53"/>
        <v>1500</v>
      </c>
      <c r="D310" s="11">
        <f t="shared" ca="1" si="54"/>
        <v>0.97467545237000774</v>
      </c>
      <c r="E310" s="11">
        <f t="shared" ca="1" si="55"/>
        <v>1900</v>
      </c>
      <c r="F310" s="11">
        <f t="shared" ca="1" si="56"/>
        <v>0.54703549759573589</v>
      </c>
      <c r="G310" s="11">
        <f t="shared" ca="1" si="57"/>
        <v>1300</v>
      </c>
      <c r="H310" s="11">
        <f t="shared" ca="1" si="58"/>
        <v>1300</v>
      </c>
      <c r="I310" s="11">
        <f t="shared" ca="1" si="59"/>
        <v>0.11439115977083436</v>
      </c>
      <c r="J310" s="11">
        <f t="shared" ca="1" si="60"/>
        <v>5</v>
      </c>
      <c r="K310" s="24">
        <v>96</v>
      </c>
      <c r="L310" s="24">
        <f t="shared" ca="1" si="61"/>
        <v>50</v>
      </c>
      <c r="M310" s="24">
        <v>400</v>
      </c>
      <c r="N310" s="24">
        <v>20</v>
      </c>
      <c r="O310" s="24">
        <f t="shared" ca="1" si="62"/>
        <v>566</v>
      </c>
      <c r="P310" s="24">
        <v>328</v>
      </c>
      <c r="Q310" s="11">
        <f t="shared" ca="1" si="63"/>
        <v>50</v>
      </c>
      <c r="R310" s="24">
        <v>200</v>
      </c>
      <c r="S310" s="24">
        <v>10</v>
      </c>
      <c r="T310" s="24">
        <f t="shared" ca="1" si="64"/>
        <v>588</v>
      </c>
    </row>
    <row r="311" spans="1:20" x14ac:dyDescent="0.45">
      <c r="A311" s="11">
        <v>298</v>
      </c>
      <c r="B311" s="11">
        <f t="shared" ca="1" si="52"/>
        <v>7.4235019880490305E-2</v>
      </c>
      <c r="C311" s="11">
        <f t="shared" ca="1" si="53"/>
        <v>1000</v>
      </c>
      <c r="D311" s="11">
        <f t="shared" ca="1" si="54"/>
        <v>0.15707496200439375</v>
      </c>
      <c r="E311" s="11">
        <f t="shared" ca="1" si="55"/>
        <v>1100</v>
      </c>
      <c r="F311" s="11">
        <f t="shared" ca="1" si="56"/>
        <v>0.83010798769624849</v>
      </c>
      <c r="G311" s="11">
        <f t="shared" ca="1" si="57"/>
        <v>1600</v>
      </c>
      <c r="H311" s="11">
        <f t="shared" ca="1" si="58"/>
        <v>1000</v>
      </c>
      <c r="I311" s="11">
        <f t="shared" ca="1" si="59"/>
        <v>0.60749755342484002</v>
      </c>
      <c r="J311" s="11">
        <f t="shared" ca="1" si="60"/>
        <v>10</v>
      </c>
      <c r="K311" s="24">
        <v>96</v>
      </c>
      <c r="L311" s="24">
        <f t="shared" ca="1" si="61"/>
        <v>100</v>
      </c>
      <c r="M311" s="24">
        <v>400</v>
      </c>
      <c r="N311" s="24">
        <v>20</v>
      </c>
      <c r="O311" s="24">
        <f t="shared" ca="1" si="62"/>
        <v>616</v>
      </c>
      <c r="P311" s="24">
        <v>329</v>
      </c>
      <c r="Q311" s="11">
        <f t="shared" ca="1" si="63"/>
        <v>100</v>
      </c>
      <c r="R311" s="24">
        <v>200</v>
      </c>
      <c r="S311" s="24">
        <v>10</v>
      </c>
      <c r="T311" s="24">
        <f t="shared" ca="1" si="64"/>
        <v>639</v>
      </c>
    </row>
    <row r="312" spans="1:20" x14ac:dyDescent="0.45">
      <c r="A312" s="11">
        <v>299</v>
      </c>
      <c r="B312" s="11">
        <f t="shared" ca="1" si="52"/>
        <v>0.63857835619452763</v>
      </c>
      <c r="C312" s="11">
        <f t="shared" ca="1" si="53"/>
        <v>1400</v>
      </c>
      <c r="D312" s="11">
        <f t="shared" ca="1" si="54"/>
        <v>0.94652755873630356</v>
      </c>
      <c r="E312" s="11">
        <f t="shared" ca="1" si="55"/>
        <v>1800</v>
      </c>
      <c r="F312" s="11">
        <f t="shared" ca="1" si="56"/>
        <v>0.32386176733826122</v>
      </c>
      <c r="G312" s="11">
        <f t="shared" ca="1" si="57"/>
        <v>1200</v>
      </c>
      <c r="H312" s="11">
        <f t="shared" ca="1" si="58"/>
        <v>1200</v>
      </c>
      <c r="I312" s="11">
        <f t="shared" ca="1" si="59"/>
        <v>0.46810943036833419</v>
      </c>
      <c r="J312" s="11">
        <f t="shared" ca="1" si="60"/>
        <v>5</v>
      </c>
      <c r="K312" s="24">
        <v>96</v>
      </c>
      <c r="L312" s="24">
        <f t="shared" ca="1" si="61"/>
        <v>50</v>
      </c>
      <c r="M312" s="24">
        <v>400</v>
      </c>
      <c r="N312" s="24">
        <v>20</v>
      </c>
      <c r="O312" s="24">
        <f t="shared" ca="1" si="62"/>
        <v>566</v>
      </c>
      <c r="P312" s="24">
        <v>330</v>
      </c>
      <c r="Q312" s="11">
        <f t="shared" ca="1" si="63"/>
        <v>50</v>
      </c>
      <c r="R312" s="24">
        <v>200</v>
      </c>
      <c r="S312" s="24">
        <v>10</v>
      </c>
      <c r="T312" s="24">
        <f t="shared" ca="1" si="64"/>
        <v>590</v>
      </c>
    </row>
    <row r="313" spans="1:20" x14ac:dyDescent="0.45">
      <c r="A313" s="11">
        <v>300</v>
      </c>
      <c r="B313" s="11">
        <f t="shared" ca="1" si="52"/>
        <v>0.51446668757237912</v>
      </c>
      <c r="C313" s="11">
        <f t="shared" ca="1" si="53"/>
        <v>1300</v>
      </c>
      <c r="D313" s="11">
        <f t="shared" ca="1" si="54"/>
        <v>0.68531854671689663</v>
      </c>
      <c r="E313" s="11">
        <f t="shared" ca="1" si="55"/>
        <v>1400</v>
      </c>
      <c r="F313" s="11">
        <f t="shared" ca="1" si="56"/>
        <v>0.62979396972838797</v>
      </c>
      <c r="G313" s="11">
        <f t="shared" ca="1" si="57"/>
        <v>1400</v>
      </c>
      <c r="H313" s="11">
        <f t="shared" ca="1" si="58"/>
        <v>1300</v>
      </c>
      <c r="I313" s="11">
        <f t="shared" ca="1" si="59"/>
        <v>0.44043351854071122</v>
      </c>
      <c r="J313" s="11">
        <f t="shared" ca="1" si="60"/>
        <v>5</v>
      </c>
      <c r="K313" s="24">
        <v>96</v>
      </c>
      <c r="L313" s="24">
        <f t="shared" ca="1" si="61"/>
        <v>50</v>
      </c>
      <c r="M313" s="24">
        <v>400</v>
      </c>
      <c r="N313" s="24">
        <v>20</v>
      </c>
      <c r="O313" s="24">
        <f t="shared" ca="1" si="62"/>
        <v>566</v>
      </c>
      <c r="P313" s="24">
        <v>331</v>
      </c>
      <c r="Q313" s="11">
        <f t="shared" ca="1" si="63"/>
        <v>50</v>
      </c>
      <c r="R313" s="24">
        <v>200</v>
      </c>
      <c r="S313" s="24">
        <v>10</v>
      </c>
      <c r="T313" s="24">
        <f t="shared" ca="1" si="64"/>
        <v>591</v>
      </c>
    </row>
    <row r="314" spans="1:20" x14ac:dyDescent="0.45">
      <c r="A314" s="11">
        <v>301</v>
      </c>
      <c r="B314" s="11">
        <f t="shared" ca="1" si="52"/>
        <v>0.42267341445100226</v>
      </c>
      <c r="C314" s="11">
        <f t="shared" ca="1" si="53"/>
        <v>1200</v>
      </c>
      <c r="D314" s="11">
        <f t="shared" ca="1" si="54"/>
        <v>0.73325984112346432</v>
      </c>
      <c r="E314" s="11">
        <f t="shared" ca="1" si="55"/>
        <v>1500</v>
      </c>
      <c r="F314" s="11">
        <f t="shared" ca="1" si="56"/>
        <v>0.61194327387805247</v>
      </c>
      <c r="G314" s="11">
        <f t="shared" ca="1" si="57"/>
        <v>1400</v>
      </c>
      <c r="H314" s="11">
        <f t="shared" ca="1" si="58"/>
        <v>1200</v>
      </c>
      <c r="I314" s="11">
        <f t="shared" ca="1" si="59"/>
        <v>0.48722461506249726</v>
      </c>
      <c r="J314" s="11">
        <f t="shared" ca="1" si="60"/>
        <v>5</v>
      </c>
      <c r="K314" s="24">
        <v>96</v>
      </c>
      <c r="L314" s="24">
        <f t="shared" ca="1" si="61"/>
        <v>50</v>
      </c>
      <c r="M314" s="24">
        <v>400</v>
      </c>
      <c r="N314" s="24">
        <v>20</v>
      </c>
      <c r="O314" s="24">
        <f t="shared" ca="1" si="62"/>
        <v>566</v>
      </c>
      <c r="P314" s="24">
        <v>332</v>
      </c>
      <c r="Q314" s="11">
        <f t="shared" ca="1" si="63"/>
        <v>50</v>
      </c>
      <c r="R314" s="24">
        <v>200</v>
      </c>
      <c r="S314" s="24">
        <v>10</v>
      </c>
      <c r="T314" s="24">
        <f t="shared" ca="1" si="64"/>
        <v>592</v>
      </c>
    </row>
    <row r="315" spans="1:20" x14ac:dyDescent="0.45">
      <c r="A315" s="11">
        <v>302</v>
      </c>
      <c r="B315" s="11">
        <f t="shared" ca="1" si="52"/>
        <v>0.62623698200472422</v>
      </c>
      <c r="C315" s="11">
        <f t="shared" ca="1" si="53"/>
        <v>1400</v>
      </c>
      <c r="D315" s="11">
        <f t="shared" ca="1" si="54"/>
        <v>0.16408503808829633</v>
      </c>
      <c r="E315" s="11">
        <f t="shared" ca="1" si="55"/>
        <v>1100</v>
      </c>
      <c r="F315" s="11">
        <f t="shared" ca="1" si="56"/>
        <v>0.729869030396746</v>
      </c>
      <c r="G315" s="11">
        <f t="shared" ca="1" si="57"/>
        <v>1500</v>
      </c>
      <c r="H315" s="11">
        <f t="shared" ca="1" si="58"/>
        <v>1100</v>
      </c>
      <c r="I315" s="11">
        <f t="shared" ca="1" si="59"/>
        <v>0.91025588242768585</v>
      </c>
      <c r="J315" s="11">
        <f t="shared" ca="1" si="60"/>
        <v>15</v>
      </c>
      <c r="K315" s="24">
        <v>96</v>
      </c>
      <c r="L315" s="24">
        <f t="shared" ca="1" si="61"/>
        <v>150</v>
      </c>
      <c r="M315" s="24">
        <v>400</v>
      </c>
      <c r="N315" s="24">
        <v>20</v>
      </c>
      <c r="O315" s="24">
        <f t="shared" ca="1" si="62"/>
        <v>666</v>
      </c>
      <c r="P315" s="24">
        <v>333</v>
      </c>
      <c r="Q315" s="11">
        <f t="shared" ca="1" si="63"/>
        <v>150</v>
      </c>
      <c r="R315" s="24">
        <v>200</v>
      </c>
      <c r="S315" s="24">
        <v>10</v>
      </c>
      <c r="T315" s="24">
        <f t="shared" ca="1" si="64"/>
        <v>693</v>
      </c>
    </row>
    <row r="316" spans="1:20" x14ac:dyDescent="0.45">
      <c r="A316" s="11">
        <v>303</v>
      </c>
      <c r="B316" s="11">
        <f t="shared" ca="1" si="52"/>
        <v>0.9831162331542449</v>
      </c>
      <c r="C316" s="11">
        <f t="shared" ca="1" si="53"/>
        <v>1900</v>
      </c>
      <c r="D316" s="11">
        <f t="shared" ca="1" si="54"/>
        <v>0.29089904327939564</v>
      </c>
      <c r="E316" s="11">
        <f t="shared" ca="1" si="55"/>
        <v>1200</v>
      </c>
      <c r="F316" s="11">
        <f t="shared" ca="1" si="56"/>
        <v>0.80930717389321205</v>
      </c>
      <c r="G316" s="11">
        <f t="shared" ca="1" si="57"/>
        <v>1500</v>
      </c>
      <c r="H316" s="11">
        <f t="shared" ca="1" si="58"/>
        <v>1200</v>
      </c>
      <c r="I316" s="11">
        <f t="shared" ca="1" si="59"/>
        <v>0.84791854587921256</v>
      </c>
      <c r="J316" s="11">
        <f t="shared" ca="1" si="60"/>
        <v>10</v>
      </c>
      <c r="K316" s="24">
        <v>96</v>
      </c>
      <c r="L316" s="24">
        <f t="shared" ca="1" si="61"/>
        <v>100</v>
      </c>
      <c r="M316" s="24">
        <v>400</v>
      </c>
      <c r="N316" s="24">
        <v>20</v>
      </c>
      <c r="O316" s="24">
        <f t="shared" ca="1" si="62"/>
        <v>616</v>
      </c>
      <c r="P316" s="24">
        <v>334</v>
      </c>
      <c r="Q316" s="11">
        <f t="shared" ca="1" si="63"/>
        <v>100</v>
      </c>
      <c r="R316" s="24">
        <v>200</v>
      </c>
      <c r="S316" s="24">
        <v>10</v>
      </c>
      <c r="T316" s="24">
        <f t="shared" ca="1" si="64"/>
        <v>644</v>
      </c>
    </row>
    <row r="317" spans="1:20" x14ac:dyDescent="0.45">
      <c r="A317" s="11">
        <v>304</v>
      </c>
      <c r="B317" s="11">
        <f t="shared" ca="1" si="52"/>
        <v>0.21842966276681852</v>
      </c>
      <c r="C317" s="11">
        <f t="shared" ca="1" si="53"/>
        <v>1100</v>
      </c>
      <c r="D317" s="11">
        <f t="shared" ca="1" si="54"/>
        <v>0.57447566211654433</v>
      </c>
      <c r="E317" s="11">
        <f t="shared" ca="1" si="55"/>
        <v>1300</v>
      </c>
      <c r="F317" s="11">
        <f t="shared" ca="1" si="56"/>
        <v>0.34341093026728253</v>
      </c>
      <c r="G317" s="11">
        <f t="shared" ca="1" si="57"/>
        <v>1200</v>
      </c>
      <c r="H317" s="11">
        <f t="shared" ca="1" si="58"/>
        <v>1100</v>
      </c>
      <c r="I317" s="11">
        <f t="shared" ca="1" si="59"/>
        <v>0.41929906867250177</v>
      </c>
      <c r="J317" s="11">
        <f t="shared" ca="1" si="60"/>
        <v>5</v>
      </c>
      <c r="K317" s="24">
        <v>96</v>
      </c>
      <c r="L317" s="24">
        <f t="shared" ca="1" si="61"/>
        <v>50</v>
      </c>
      <c r="M317" s="24">
        <v>400</v>
      </c>
      <c r="N317" s="24">
        <v>20</v>
      </c>
      <c r="O317" s="24">
        <f t="shared" ca="1" si="62"/>
        <v>566</v>
      </c>
      <c r="P317" s="24">
        <v>335</v>
      </c>
      <c r="Q317" s="11">
        <f t="shared" ca="1" si="63"/>
        <v>50</v>
      </c>
      <c r="R317" s="24">
        <v>200</v>
      </c>
      <c r="S317" s="24">
        <v>10</v>
      </c>
      <c r="T317" s="24">
        <f t="shared" ca="1" si="64"/>
        <v>595</v>
      </c>
    </row>
    <row r="318" spans="1:20" x14ac:dyDescent="0.45">
      <c r="A318" s="11">
        <v>305</v>
      </c>
      <c r="B318" s="11">
        <f t="shared" ca="1" si="52"/>
        <v>0.11444721899989585</v>
      </c>
      <c r="C318" s="11">
        <f t="shared" ca="1" si="53"/>
        <v>1100</v>
      </c>
      <c r="D318" s="11">
        <f t="shared" ca="1" si="54"/>
        <v>0.35456572051724877</v>
      </c>
      <c r="E318" s="11">
        <f t="shared" ca="1" si="55"/>
        <v>1200</v>
      </c>
      <c r="F318" s="11">
        <f t="shared" ca="1" si="56"/>
        <v>0.12400934649859108</v>
      </c>
      <c r="G318" s="11">
        <f t="shared" ca="1" si="57"/>
        <v>1100</v>
      </c>
      <c r="H318" s="11">
        <f t="shared" ca="1" si="58"/>
        <v>1100</v>
      </c>
      <c r="I318" s="11">
        <f t="shared" ca="1" si="59"/>
        <v>0.12038116889894723</v>
      </c>
      <c r="J318" s="11">
        <f t="shared" ca="1" si="60"/>
        <v>5</v>
      </c>
      <c r="K318" s="24">
        <v>96</v>
      </c>
      <c r="L318" s="24">
        <f t="shared" ca="1" si="61"/>
        <v>50</v>
      </c>
      <c r="M318" s="24">
        <v>400</v>
      </c>
      <c r="N318" s="24">
        <v>20</v>
      </c>
      <c r="O318" s="24">
        <f t="shared" ca="1" si="62"/>
        <v>566</v>
      </c>
      <c r="P318" s="24">
        <v>336</v>
      </c>
      <c r="Q318" s="11">
        <f t="shared" ca="1" si="63"/>
        <v>50</v>
      </c>
      <c r="R318" s="24">
        <v>200</v>
      </c>
      <c r="S318" s="24">
        <v>10</v>
      </c>
      <c r="T318" s="24">
        <f t="shared" ca="1" si="64"/>
        <v>596</v>
      </c>
    </row>
    <row r="319" spans="1:20" x14ac:dyDescent="0.45">
      <c r="A319" s="11">
        <v>306</v>
      </c>
      <c r="B319" s="11">
        <f t="shared" ca="1" si="52"/>
        <v>0.34524252154595325</v>
      </c>
      <c r="C319" s="11">
        <f t="shared" ca="1" si="53"/>
        <v>1200</v>
      </c>
      <c r="D319" s="11">
        <f t="shared" ca="1" si="54"/>
        <v>0.93074727514541233</v>
      </c>
      <c r="E319" s="11">
        <f t="shared" ca="1" si="55"/>
        <v>1800</v>
      </c>
      <c r="F319" s="11">
        <f t="shared" ca="1" si="56"/>
        <v>0.39592521089108657</v>
      </c>
      <c r="G319" s="11">
        <f t="shared" ca="1" si="57"/>
        <v>1200</v>
      </c>
      <c r="H319" s="11">
        <f t="shared" ca="1" si="58"/>
        <v>1200</v>
      </c>
      <c r="I319" s="11">
        <f t="shared" ca="1" si="59"/>
        <v>0.73679198902211396</v>
      </c>
      <c r="J319" s="11">
        <f t="shared" ca="1" si="60"/>
        <v>10</v>
      </c>
      <c r="K319" s="24">
        <v>96</v>
      </c>
      <c r="L319" s="24">
        <f t="shared" ca="1" si="61"/>
        <v>100</v>
      </c>
      <c r="M319" s="24">
        <v>400</v>
      </c>
      <c r="N319" s="24">
        <v>20</v>
      </c>
      <c r="O319" s="24">
        <f t="shared" ca="1" si="62"/>
        <v>616</v>
      </c>
      <c r="P319" s="24">
        <v>337</v>
      </c>
      <c r="Q319" s="11">
        <f t="shared" ca="1" si="63"/>
        <v>100</v>
      </c>
      <c r="R319" s="24">
        <v>200</v>
      </c>
      <c r="S319" s="24">
        <v>10</v>
      </c>
      <c r="T319" s="24">
        <f t="shared" ca="1" si="64"/>
        <v>647</v>
      </c>
    </row>
    <row r="320" spans="1:20" x14ac:dyDescent="0.45">
      <c r="A320" s="11">
        <v>307</v>
      </c>
      <c r="B320" s="11">
        <f t="shared" ca="1" si="52"/>
        <v>3.8673173453023346E-2</v>
      </c>
      <c r="C320" s="11">
        <f t="shared" ca="1" si="53"/>
        <v>1000</v>
      </c>
      <c r="D320" s="11">
        <f t="shared" ca="1" si="54"/>
        <v>0.72912375922110484</v>
      </c>
      <c r="E320" s="11">
        <f t="shared" ca="1" si="55"/>
        <v>1500</v>
      </c>
      <c r="F320" s="11">
        <f t="shared" ca="1" si="56"/>
        <v>0.54370267720536158</v>
      </c>
      <c r="G320" s="11">
        <f t="shared" ca="1" si="57"/>
        <v>1300</v>
      </c>
      <c r="H320" s="11">
        <f t="shared" ca="1" si="58"/>
        <v>1000</v>
      </c>
      <c r="I320" s="11">
        <f t="shared" ca="1" si="59"/>
        <v>0.46140243287067362</v>
      </c>
      <c r="J320" s="11">
        <f t="shared" ca="1" si="60"/>
        <v>5</v>
      </c>
      <c r="K320" s="24">
        <v>96</v>
      </c>
      <c r="L320" s="24">
        <f t="shared" ca="1" si="61"/>
        <v>50</v>
      </c>
      <c r="M320" s="24">
        <v>400</v>
      </c>
      <c r="N320" s="24">
        <v>20</v>
      </c>
      <c r="O320" s="24">
        <f t="shared" ca="1" si="62"/>
        <v>566</v>
      </c>
      <c r="P320" s="24">
        <v>338</v>
      </c>
      <c r="Q320" s="11">
        <f t="shared" ca="1" si="63"/>
        <v>50</v>
      </c>
      <c r="R320" s="24">
        <v>200</v>
      </c>
      <c r="S320" s="24">
        <v>10</v>
      </c>
      <c r="T320" s="24">
        <f t="shared" ca="1" si="64"/>
        <v>598</v>
      </c>
    </row>
    <row r="321" spans="1:20" x14ac:dyDescent="0.45">
      <c r="A321" s="11">
        <v>308</v>
      </c>
      <c r="B321" s="11">
        <f t="shared" ca="1" si="52"/>
        <v>0.52462919800488839</v>
      </c>
      <c r="C321" s="11">
        <f t="shared" ca="1" si="53"/>
        <v>1300</v>
      </c>
      <c r="D321" s="11">
        <f t="shared" ca="1" si="54"/>
        <v>0.19357009941131353</v>
      </c>
      <c r="E321" s="11">
        <f t="shared" ca="1" si="55"/>
        <v>1100</v>
      </c>
      <c r="F321" s="11">
        <f t="shared" ca="1" si="56"/>
        <v>0.94077552632336447</v>
      </c>
      <c r="G321" s="11">
        <f t="shared" ca="1" si="57"/>
        <v>1800</v>
      </c>
      <c r="H321" s="11">
        <f t="shared" ca="1" si="58"/>
        <v>1100</v>
      </c>
      <c r="I321" s="11">
        <f t="shared" ca="1" si="59"/>
        <v>0.17947681128600368</v>
      </c>
      <c r="J321" s="11">
        <f t="shared" ca="1" si="60"/>
        <v>5</v>
      </c>
      <c r="K321" s="24">
        <v>96</v>
      </c>
      <c r="L321" s="24">
        <f t="shared" ca="1" si="61"/>
        <v>50</v>
      </c>
      <c r="M321" s="24">
        <v>400</v>
      </c>
      <c r="N321" s="24">
        <v>20</v>
      </c>
      <c r="O321" s="24">
        <f t="shared" ca="1" si="62"/>
        <v>566</v>
      </c>
      <c r="P321" s="24">
        <v>339</v>
      </c>
      <c r="Q321" s="11">
        <f t="shared" ca="1" si="63"/>
        <v>50</v>
      </c>
      <c r="R321" s="24">
        <v>200</v>
      </c>
      <c r="S321" s="24">
        <v>10</v>
      </c>
      <c r="T321" s="24">
        <f t="shared" ca="1" si="64"/>
        <v>599</v>
      </c>
    </row>
    <row r="322" spans="1:20" x14ac:dyDescent="0.45">
      <c r="A322" s="11">
        <v>309</v>
      </c>
      <c r="B322" s="11">
        <f t="shared" ca="1" si="52"/>
        <v>0.61954234911281436</v>
      </c>
      <c r="C322" s="11">
        <f t="shared" ca="1" si="53"/>
        <v>1400</v>
      </c>
      <c r="D322" s="11">
        <f t="shared" ca="1" si="54"/>
        <v>0.15432578385250018</v>
      </c>
      <c r="E322" s="11">
        <f t="shared" ca="1" si="55"/>
        <v>1100</v>
      </c>
      <c r="F322" s="11">
        <f t="shared" ca="1" si="56"/>
        <v>0.60748042963036064</v>
      </c>
      <c r="G322" s="11">
        <f t="shared" ca="1" si="57"/>
        <v>1300</v>
      </c>
      <c r="H322" s="11">
        <f t="shared" ca="1" si="58"/>
        <v>1100</v>
      </c>
      <c r="I322" s="11">
        <f t="shared" ca="1" si="59"/>
        <v>0.26991975378316901</v>
      </c>
      <c r="J322" s="11">
        <f t="shared" ca="1" si="60"/>
        <v>5</v>
      </c>
      <c r="K322" s="24">
        <v>96</v>
      </c>
      <c r="L322" s="24">
        <f t="shared" ca="1" si="61"/>
        <v>50</v>
      </c>
      <c r="M322" s="24">
        <v>400</v>
      </c>
      <c r="N322" s="24">
        <v>20</v>
      </c>
      <c r="O322" s="24">
        <f t="shared" ca="1" si="62"/>
        <v>566</v>
      </c>
      <c r="P322" s="24">
        <v>340</v>
      </c>
      <c r="Q322" s="11">
        <f t="shared" ca="1" si="63"/>
        <v>50</v>
      </c>
      <c r="R322" s="24">
        <v>200</v>
      </c>
      <c r="S322" s="24">
        <v>10</v>
      </c>
      <c r="T322" s="24">
        <f t="shared" ca="1" si="64"/>
        <v>600</v>
      </c>
    </row>
    <row r="323" spans="1:20" x14ac:dyDescent="0.45">
      <c r="A323" s="11">
        <v>310</v>
      </c>
      <c r="B323" s="11">
        <f t="shared" ca="1" si="52"/>
        <v>0.65752989346600932</v>
      </c>
      <c r="C323" s="11">
        <f t="shared" ca="1" si="53"/>
        <v>1400</v>
      </c>
      <c r="D323" s="11">
        <f t="shared" ca="1" si="54"/>
        <v>0.88117858587529407</v>
      </c>
      <c r="E323" s="11">
        <f t="shared" ca="1" si="55"/>
        <v>1700</v>
      </c>
      <c r="F323" s="11">
        <f t="shared" ca="1" si="56"/>
        <v>0.56001729190166494</v>
      </c>
      <c r="G323" s="11">
        <f t="shared" ca="1" si="57"/>
        <v>1300</v>
      </c>
      <c r="H323" s="11">
        <f t="shared" ca="1" si="58"/>
        <v>1300</v>
      </c>
      <c r="I323" s="11">
        <f t="shared" ca="1" si="59"/>
        <v>6.4355889911481112E-2</v>
      </c>
      <c r="J323" s="11">
        <f t="shared" ca="1" si="60"/>
        <v>5</v>
      </c>
      <c r="K323" s="24">
        <v>96</v>
      </c>
      <c r="L323" s="24">
        <f t="shared" ca="1" si="61"/>
        <v>50</v>
      </c>
      <c r="M323" s="24">
        <v>400</v>
      </c>
      <c r="N323" s="24">
        <v>20</v>
      </c>
      <c r="O323" s="24">
        <f t="shared" ca="1" si="62"/>
        <v>566</v>
      </c>
      <c r="P323" s="24">
        <v>341</v>
      </c>
      <c r="Q323" s="11">
        <f t="shared" ca="1" si="63"/>
        <v>50</v>
      </c>
      <c r="R323" s="24">
        <v>200</v>
      </c>
      <c r="S323" s="24">
        <v>10</v>
      </c>
      <c r="T323" s="24">
        <f t="shared" ca="1" si="64"/>
        <v>601</v>
      </c>
    </row>
    <row r="324" spans="1:20" x14ac:dyDescent="0.45">
      <c r="A324" s="11">
        <v>311</v>
      </c>
      <c r="B324" s="11">
        <f t="shared" ca="1" si="52"/>
        <v>0.9815091792135463</v>
      </c>
      <c r="C324" s="11">
        <f t="shared" ca="1" si="53"/>
        <v>1900</v>
      </c>
      <c r="D324" s="11">
        <f t="shared" ca="1" si="54"/>
        <v>0.4856756078591471</v>
      </c>
      <c r="E324" s="11">
        <f t="shared" ca="1" si="55"/>
        <v>1300</v>
      </c>
      <c r="F324" s="11">
        <f t="shared" ca="1" si="56"/>
        <v>0.66776886100331945</v>
      </c>
      <c r="G324" s="11">
        <f t="shared" ca="1" si="57"/>
        <v>1400</v>
      </c>
      <c r="H324" s="11">
        <f t="shared" ca="1" si="58"/>
        <v>1300</v>
      </c>
      <c r="I324" s="11">
        <f t="shared" ca="1" si="59"/>
        <v>0.60082199024594385</v>
      </c>
      <c r="J324" s="11">
        <f t="shared" ca="1" si="60"/>
        <v>10</v>
      </c>
      <c r="K324" s="24">
        <v>96</v>
      </c>
      <c r="L324" s="24">
        <f t="shared" ca="1" si="61"/>
        <v>100</v>
      </c>
      <c r="M324" s="24">
        <v>400</v>
      </c>
      <c r="N324" s="24">
        <v>20</v>
      </c>
      <c r="O324" s="24">
        <f t="shared" ca="1" si="62"/>
        <v>616</v>
      </c>
      <c r="P324" s="24">
        <v>342</v>
      </c>
      <c r="Q324" s="11">
        <f t="shared" ca="1" si="63"/>
        <v>100</v>
      </c>
      <c r="R324" s="24">
        <v>200</v>
      </c>
      <c r="S324" s="24">
        <v>10</v>
      </c>
      <c r="T324" s="24">
        <f t="shared" ca="1" si="64"/>
        <v>652</v>
      </c>
    </row>
    <row r="325" spans="1:20" x14ac:dyDescent="0.45">
      <c r="A325" s="11">
        <v>312</v>
      </c>
      <c r="B325" s="11">
        <f t="shared" ca="1" si="52"/>
        <v>0.93880592214293168</v>
      </c>
      <c r="C325" s="11">
        <f t="shared" ca="1" si="53"/>
        <v>1800</v>
      </c>
      <c r="D325" s="11">
        <f t="shared" ca="1" si="54"/>
        <v>0.12600251806538754</v>
      </c>
      <c r="E325" s="11">
        <f t="shared" ca="1" si="55"/>
        <v>1100</v>
      </c>
      <c r="F325" s="11">
        <f t="shared" ca="1" si="56"/>
        <v>7.9198459455117942E-2</v>
      </c>
      <c r="G325" s="11">
        <f t="shared" ca="1" si="57"/>
        <v>1000</v>
      </c>
      <c r="H325" s="11">
        <f t="shared" ca="1" si="58"/>
        <v>1000</v>
      </c>
      <c r="I325" s="11">
        <f t="shared" ca="1" si="59"/>
        <v>0.41767786600949974</v>
      </c>
      <c r="J325" s="11">
        <f t="shared" ca="1" si="60"/>
        <v>5</v>
      </c>
      <c r="K325" s="24">
        <v>96</v>
      </c>
      <c r="L325" s="24">
        <f t="shared" ca="1" si="61"/>
        <v>50</v>
      </c>
      <c r="M325" s="24">
        <v>400</v>
      </c>
      <c r="N325" s="24">
        <v>20</v>
      </c>
      <c r="O325" s="24">
        <f t="shared" ca="1" si="62"/>
        <v>566</v>
      </c>
      <c r="P325" s="24">
        <v>343</v>
      </c>
      <c r="Q325" s="11">
        <f t="shared" ca="1" si="63"/>
        <v>50</v>
      </c>
      <c r="R325" s="24">
        <v>200</v>
      </c>
      <c r="S325" s="24">
        <v>10</v>
      </c>
      <c r="T325" s="24">
        <f t="shared" ca="1" si="64"/>
        <v>603</v>
      </c>
    </row>
    <row r="326" spans="1:20" x14ac:dyDescent="0.45">
      <c r="A326" s="11">
        <v>313</v>
      </c>
      <c r="B326" s="11">
        <f t="shared" ca="1" si="52"/>
        <v>0.19789629406620535</v>
      </c>
      <c r="C326" s="11">
        <f t="shared" ca="1" si="53"/>
        <v>1100</v>
      </c>
      <c r="D326" s="11">
        <f t="shared" ca="1" si="54"/>
        <v>0.41967080963206815</v>
      </c>
      <c r="E326" s="11">
        <f t="shared" ca="1" si="55"/>
        <v>1200</v>
      </c>
      <c r="F326" s="11">
        <f t="shared" ca="1" si="56"/>
        <v>0.27841979308483955</v>
      </c>
      <c r="G326" s="11">
        <f t="shared" ca="1" si="57"/>
        <v>1200</v>
      </c>
      <c r="H326" s="11">
        <f t="shared" ca="1" si="58"/>
        <v>1100</v>
      </c>
      <c r="I326" s="11">
        <f t="shared" ca="1" si="59"/>
        <v>0.87137487208193498</v>
      </c>
      <c r="J326" s="11">
        <f t="shared" ca="1" si="60"/>
        <v>10</v>
      </c>
      <c r="K326" s="24">
        <v>96</v>
      </c>
      <c r="L326" s="24">
        <f t="shared" ca="1" si="61"/>
        <v>100</v>
      </c>
      <c r="M326" s="24">
        <v>400</v>
      </c>
      <c r="N326" s="24">
        <v>20</v>
      </c>
      <c r="O326" s="24">
        <f t="shared" ca="1" si="62"/>
        <v>616</v>
      </c>
      <c r="P326" s="24">
        <v>344</v>
      </c>
      <c r="Q326" s="11">
        <f t="shared" ca="1" si="63"/>
        <v>100</v>
      </c>
      <c r="R326" s="24">
        <v>200</v>
      </c>
      <c r="S326" s="24">
        <v>10</v>
      </c>
      <c r="T326" s="24">
        <f t="shared" ca="1" si="64"/>
        <v>654</v>
      </c>
    </row>
    <row r="327" spans="1:20" x14ac:dyDescent="0.45">
      <c r="A327" s="11">
        <v>314</v>
      </c>
      <c r="B327" s="11">
        <f t="shared" ca="1" si="52"/>
        <v>0.19447581024748994</v>
      </c>
      <c r="C327" s="11">
        <f t="shared" ca="1" si="53"/>
        <v>1100</v>
      </c>
      <c r="D327" s="11">
        <f t="shared" ca="1" si="54"/>
        <v>0.18945495981211369</v>
      </c>
      <c r="E327" s="11">
        <f t="shared" ca="1" si="55"/>
        <v>1100</v>
      </c>
      <c r="F327" s="11">
        <f t="shared" ca="1" si="56"/>
        <v>0.62527411820240064</v>
      </c>
      <c r="G327" s="11">
        <f t="shared" ca="1" si="57"/>
        <v>1400</v>
      </c>
      <c r="H327" s="11">
        <f t="shared" ca="1" si="58"/>
        <v>1100</v>
      </c>
      <c r="I327" s="11">
        <f t="shared" ca="1" si="59"/>
        <v>0.59905993268645796</v>
      </c>
      <c r="J327" s="11">
        <f t="shared" ca="1" si="60"/>
        <v>5</v>
      </c>
      <c r="K327" s="24">
        <v>96</v>
      </c>
      <c r="L327" s="24">
        <f t="shared" ca="1" si="61"/>
        <v>50</v>
      </c>
      <c r="M327" s="24">
        <v>400</v>
      </c>
      <c r="N327" s="24">
        <v>20</v>
      </c>
      <c r="O327" s="24">
        <f t="shared" ca="1" si="62"/>
        <v>566</v>
      </c>
      <c r="P327" s="24">
        <v>345</v>
      </c>
      <c r="Q327" s="11">
        <f t="shared" ca="1" si="63"/>
        <v>50</v>
      </c>
      <c r="R327" s="24">
        <v>200</v>
      </c>
      <c r="S327" s="24">
        <v>10</v>
      </c>
      <c r="T327" s="24">
        <f t="shared" ca="1" si="64"/>
        <v>605</v>
      </c>
    </row>
    <row r="328" spans="1:20" x14ac:dyDescent="0.45">
      <c r="A328" s="11">
        <v>315</v>
      </c>
      <c r="B328" s="11">
        <f t="shared" ca="1" si="52"/>
        <v>0.68909670564708114</v>
      </c>
      <c r="C328" s="11">
        <f t="shared" ca="1" si="53"/>
        <v>1400</v>
      </c>
      <c r="D328" s="11">
        <f t="shared" ca="1" si="54"/>
        <v>0.63176557073332817</v>
      </c>
      <c r="E328" s="11">
        <f t="shared" ca="1" si="55"/>
        <v>1400</v>
      </c>
      <c r="F328" s="11">
        <f t="shared" ca="1" si="56"/>
        <v>0.59165659810451243</v>
      </c>
      <c r="G328" s="11">
        <f t="shared" ca="1" si="57"/>
        <v>1300</v>
      </c>
      <c r="H328" s="11">
        <f t="shared" ca="1" si="58"/>
        <v>1300</v>
      </c>
      <c r="I328" s="11">
        <f t="shared" ca="1" si="59"/>
        <v>0.14625766043253496</v>
      </c>
      <c r="J328" s="11">
        <f t="shared" ca="1" si="60"/>
        <v>5</v>
      </c>
      <c r="K328" s="24">
        <v>96</v>
      </c>
      <c r="L328" s="24">
        <f t="shared" ca="1" si="61"/>
        <v>50</v>
      </c>
      <c r="M328" s="24">
        <v>400</v>
      </c>
      <c r="N328" s="24">
        <v>20</v>
      </c>
      <c r="O328" s="24">
        <f t="shared" ca="1" si="62"/>
        <v>566</v>
      </c>
      <c r="P328" s="24">
        <v>346</v>
      </c>
      <c r="Q328" s="11">
        <f t="shared" ca="1" si="63"/>
        <v>50</v>
      </c>
      <c r="R328" s="24">
        <v>200</v>
      </c>
      <c r="S328" s="24">
        <v>10</v>
      </c>
      <c r="T328" s="24">
        <f t="shared" ca="1" si="64"/>
        <v>606</v>
      </c>
    </row>
    <row r="329" spans="1:20" x14ac:dyDescent="0.45">
      <c r="A329" s="11">
        <v>316</v>
      </c>
      <c r="B329" s="11">
        <f t="shared" ca="1" si="52"/>
        <v>0.52374084787102515</v>
      </c>
      <c r="C329" s="11">
        <f t="shared" ca="1" si="53"/>
        <v>1300</v>
      </c>
      <c r="D329" s="11">
        <f t="shared" ca="1" si="54"/>
        <v>0.79740334637157995</v>
      </c>
      <c r="E329" s="11">
        <f t="shared" ca="1" si="55"/>
        <v>1500</v>
      </c>
      <c r="F329" s="11">
        <f t="shared" ca="1" si="56"/>
        <v>0.635814769858014</v>
      </c>
      <c r="G329" s="11">
        <f t="shared" ca="1" si="57"/>
        <v>1400</v>
      </c>
      <c r="H329" s="11">
        <f t="shared" ca="1" si="58"/>
        <v>1300</v>
      </c>
      <c r="I329" s="11">
        <f t="shared" ca="1" si="59"/>
        <v>0.81953820199178151</v>
      </c>
      <c r="J329" s="11">
        <f t="shared" ca="1" si="60"/>
        <v>10</v>
      </c>
      <c r="K329" s="24">
        <v>96</v>
      </c>
      <c r="L329" s="24">
        <f t="shared" ca="1" si="61"/>
        <v>100</v>
      </c>
      <c r="M329" s="24">
        <v>400</v>
      </c>
      <c r="N329" s="24">
        <v>20</v>
      </c>
      <c r="O329" s="24">
        <f t="shared" ca="1" si="62"/>
        <v>616</v>
      </c>
      <c r="P329" s="24">
        <v>347</v>
      </c>
      <c r="Q329" s="11">
        <f t="shared" ca="1" si="63"/>
        <v>100</v>
      </c>
      <c r="R329" s="24">
        <v>200</v>
      </c>
      <c r="S329" s="24">
        <v>10</v>
      </c>
      <c r="T329" s="24">
        <f t="shared" ca="1" si="64"/>
        <v>657</v>
      </c>
    </row>
    <row r="330" spans="1:20" x14ac:dyDescent="0.45">
      <c r="A330" s="11">
        <v>317</v>
      </c>
      <c r="B330" s="11">
        <f t="shared" ca="1" si="52"/>
        <v>0.58730406247392042</v>
      </c>
      <c r="C330" s="11">
        <f t="shared" ca="1" si="53"/>
        <v>1300</v>
      </c>
      <c r="D330" s="11">
        <f t="shared" ca="1" si="54"/>
        <v>0.9764954120335787</v>
      </c>
      <c r="E330" s="11">
        <f t="shared" ca="1" si="55"/>
        <v>1900</v>
      </c>
      <c r="F330" s="11">
        <f t="shared" ca="1" si="56"/>
        <v>0.34764830446123585</v>
      </c>
      <c r="G330" s="11">
        <f t="shared" ca="1" si="57"/>
        <v>1200</v>
      </c>
      <c r="H330" s="11">
        <f t="shared" ca="1" si="58"/>
        <v>1200</v>
      </c>
      <c r="I330" s="11">
        <f t="shared" ca="1" si="59"/>
        <v>0.96570871264574332</v>
      </c>
      <c r="J330" s="11">
        <f t="shared" ca="1" si="60"/>
        <v>15</v>
      </c>
      <c r="K330" s="24">
        <v>96</v>
      </c>
      <c r="L330" s="24">
        <f t="shared" ca="1" si="61"/>
        <v>150</v>
      </c>
      <c r="M330" s="24">
        <v>400</v>
      </c>
      <c r="N330" s="24">
        <v>20</v>
      </c>
      <c r="O330" s="24">
        <f t="shared" ca="1" si="62"/>
        <v>666</v>
      </c>
      <c r="P330" s="24">
        <v>348</v>
      </c>
      <c r="Q330" s="11">
        <f t="shared" ca="1" si="63"/>
        <v>150</v>
      </c>
      <c r="R330" s="24">
        <v>200</v>
      </c>
      <c r="S330" s="24">
        <v>10</v>
      </c>
      <c r="T330" s="24">
        <f t="shared" ca="1" si="64"/>
        <v>708</v>
      </c>
    </row>
    <row r="331" spans="1:20" x14ac:dyDescent="0.45">
      <c r="A331" s="11">
        <v>318</v>
      </c>
      <c r="B331" s="11">
        <f t="shared" ca="1" si="52"/>
        <v>0.32236186705583381</v>
      </c>
      <c r="C331" s="11">
        <f t="shared" ca="1" si="53"/>
        <v>1200</v>
      </c>
      <c r="D331" s="11">
        <f t="shared" ca="1" si="54"/>
        <v>0.87680323382177794</v>
      </c>
      <c r="E331" s="11">
        <f t="shared" ca="1" si="55"/>
        <v>1700</v>
      </c>
      <c r="F331" s="11">
        <f t="shared" ca="1" si="56"/>
        <v>0.97518403490917138</v>
      </c>
      <c r="G331" s="11">
        <f t="shared" ca="1" si="57"/>
        <v>1900</v>
      </c>
      <c r="H331" s="11">
        <f t="shared" ca="1" si="58"/>
        <v>1200</v>
      </c>
      <c r="I331" s="11">
        <f t="shared" ca="1" si="59"/>
        <v>0.33164082314170118</v>
      </c>
      <c r="J331" s="11">
        <f t="shared" ca="1" si="60"/>
        <v>5</v>
      </c>
      <c r="K331" s="24">
        <v>96</v>
      </c>
      <c r="L331" s="24">
        <f t="shared" ca="1" si="61"/>
        <v>50</v>
      </c>
      <c r="M331" s="24">
        <v>400</v>
      </c>
      <c r="N331" s="24">
        <v>20</v>
      </c>
      <c r="O331" s="24">
        <f t="shared" ca="1" si="62"/>
        <v>566</v>
      </c>
      <c r="P331" s="24">
        <v>349</v>
      </c>
      <c r="Q331" s="11">
        <f t="shared" ca="1" si="63"/>
        <v>50</v>
      </c>
      <c r="R331" s="24">
        <v>200</v>
      </c>
      <c r="S331" s="24">
        <v>10</v>
      </c>
      <c r="T331" s="24">
        <f t="shared" ca="1" si="64"/>
        <v>609</v>
      </c>
    </row>
    <row r="332" spans="1:20" x14ac:dyDescent="0.45">
      <c r="A332" s="11">
        <v>319</v>
      </c>
      <c r="B332" s="11">
        <f t="shared" ca="1" si="52"/>
        <v>0.18988566838090137</v>
      </c>
      <c r="C332" s="11">
        <f t="shared" ca="1" si="53"/>
        <v>1100</v>
      </c>
      <c r="D332" s="11">
        <f t="shared" ca="1" si="54"/>
        <v>0.34285201538761956</v>
      </c>
      <c r="E332" s="11">
        <f t="shared" ca="1" si="55"/>
        <v>1200</v>
      </c>
      <c r="F332" s="11">
        <f t="shared" ca="1" si="56"/>
        <v>0.68417505863997874</v>
      </c>
      <c r="G332" s="11">
        <f t="shared" ca="1" si="57"/>
        <v>1400</v>
      </c>
      <c r="H332" s="11">
        <f t="shared" ca="1" si="58"/>
        <v>1100</v>
      </c>
      <c r="I332" s="11">
        <f t="shared" ca="1" si="59"/>
        <v>0.99432641648257114</v>
      </c>
      <c r="J332" s="11">
        <f t="shared" ca="1" si="60"/>
        <v>15</v>
      </c>
      <c r="K332" s="24">
        <v>96</v>
      </c>
      <c r="L332" s="24">
        <f t="shared" ca="1" si="61"/>
        <v>150</v>
      </c>
      <c r="M332" s="24">
        <v>400</v>
      </c>
      <c r="N332" s="24">
        <v>20</v>
      </c>
      <c r="O332" s="24">
        <f t="shared" ca="1" si="62"/>
        <v>666</v>
      </c>
      <c r="P332" s="24">
        <v>350</v>
      </c>
      <c r="Q332" s="11">
        <f t="shared" ca="1" si="63"/>
        <v>150</v>
      </c>
      <c r="R332" s="24">
        <v>200</v>
      </c>
      <c r="S332" s="24">
        <v>10</v>
      </c>
      <c r="T332" s="24">
        <f t="shared" ca="1" si="64"/>
        <v>710</v>
      </c>
    </row>
    <row r="333" spans="1:20" x14ac:dyDescent="0.45">
      <c r="A333" s="11">
        <v>320</v>
      </c>
      <c r="B333" s="11">
        <f t="shared" ca="1" si="52"/>
        <v>0.89924362267070479</v>
      </c>
      <c r="C333" s="11">
        <f t="shared" ca="1" si="53"/>
        <v>1700</v>
      </c>
      <c r="D333" s="11">
        <f t="shared" ca="1" si="54"/>
        <v>0.34348398250389289</v>
      </c>
      <c r="E333" s="11">
        <f t="shared" ca="1" si="55"/>
        <v>1200</v>
      </c>
      <c r="F333" s="11">
        <f t="shared" ca="1" si="56"/>
        <v>0.32597320451545575</v>
      </c>
      <c r="G333" s="11">
        <f t="shared" ca="1" si="57"/>
        <v>1200</v>
      </c>
      <c r="H333" s="11">
        <f t="shared" ca="1" si="58"/>
        <v>1200</v>
      </c>
      <c r="I333" s="11">
        <f t="shared" ca="1" si="59"/>
        <v>0.44910509769504336</v>
      </c>
      <c r="J333" s="11">
        <f t="shared" ca="1" si="60"/>
        <v>5</v>
      </c>
      <c r="K333" s="24">
        <v>96</v>
      </c>
      <c r="L333" s="24">
        <f t="shared" ca="1" si="61"/>
        <v>50</v>
      </c>
      <c r="M333" s="24">
        <v>400</v>
      </c>
      <c r="N333" s="24">
        <v>20</v>
      </c>
      <c r="O333" s="24">
        <f t="shared" ca="1" si="62"/>
        <v>566</v>
      </c>
      <c r="P333" s="24">
        <v>351</v>
      </c>
      <c r="Q333" s="11">
        <f t="shared" ca="1" si="63"/>
        <v>50</v>
      </c>
      <c r="R333" s="24">
        <v>200</v>
      </c>
      <c r="S333" s="24">
        <v>10</v>
      </c>
      <c r="T333" s="24">
        <f t="shared" ca="1" si="64"/>
        <v>611</v>
      </c>
    </row>
    <row r="334" spans="1:20" x14ac:dyDescent="0.45">
      <c r="A334" s="11">
        <v>321</v>
      </c>
      <c r="B334" s="11">
        <f t="shared" ca="1" si="52"/>
        <v>0.38934826548999391</v>
      </c>
      <c r="C334" s="11">
        <f t="shared" ca="1" si="53"/>
        <v>1200</v>
      </c>
      <c r="D334" s="11">
        <f t="shared" ca="1" si="54"/>
        <v>0.22987444961702008</v>
      </c>
      <c r="E334" s="11">
        <f t="shared" ca="1" si="55"/>
        <v>1100</v>
      </c>
      <c r="F334" s="11">
        <f t="shared" ca="1" si="56"/>
        <v>0.71679420301169849</v>
      </c>
      <c r="G334" s="11">
        <f t="shared" ca="1" si="57"/>
        <v>1500</v>
      </c>
      <c r="H334" s="11">
        <f t="shared" ca="1" si="58"/>
        <v>1100</v>
      </c>
      <c r="I334" s="11">
        <f t="shared" ca="1" si="59"/>
        <v>0.72207409745625206</v>
      </c>
      <c r="J334" s="11">
        <f t="shared" ca="1" si="60"/>
        <v>10</v>
      </c>
      <c r="K334" s="24">
        <v>96</v>
      </c>
      <c r="L334" s="24">
        <f t="shared" ca="1" si="61"/>
        <v>100</v>
      </c>
      <c r="M334" s="24">
        <v>400</v>
      </c>
      <c r="N334" s="24">
        <v>20</v>
      </c>
      <c r="O334" s="24">
        <f t="shared" ca="1" si="62"/>
        <v>616</v>
      </c>
      <c r="P334" s="24">
        <v>352</v>
      </c>
      <c r="Q334" s="11">
        <f t="shared" ca="1" si="63"/>
        <v>100</v>
      </c>
      <c r="R334" s="24">
        <v>200</v>
      </c>
      <c r="S334" s="24">
        <v>10</v>
      </c>
      <c r="T334" s="24">
        <f t="shared" ca="1" si="64"/>
        <v>662</v>
      </c>
    </row>
    <row r="335" spans="1:20" x14ac:dyDescent="0.45">
      <c r="A335" s="11">
        <v>322</v>
      </c>
      <c r="B335" s="11">
        <f t="shared" ref="B335:B398" ca="1" si="65">RAND()</f>
        <v>0.24299684872245297</v>
      </c>
      <c r="C335" s="11">
        <f t="shared" ref="C335:C398" ca="1" si="66">LOOKUP(B335, $C$2:$C$11, $A$2:$A$11)</f>
        <v>1200</v>
      </c>
      <c r="D335" s="11">
        <f t="shared" ref="D335:D398" ca="1" si="67">RAND()</f>
        <v>0.25479675351957987</v>
      </c>
      <c r="E335" s="11">
        <f t="shared" ref="E335:E398" ca="1" si="68">LOOKUP(D335, $C$2:$C$11, $A$2:$A$11)</f>
        <v>1200</v>
      </c>
      <c r="F335" s="11">
        <f t="shared" ref="F335:F398" ca="1" si="69">RAND()</f>
        <v>0.17234382499009804</v>
      </c>
      <c r="G335" s="11">
        <f t="shared" ref="G335:G398" ca="1" si="70">LOOKUP(F335, $C$2:$C$11, $A$2:$A$11)</f>
        <v>1100</v>
      </c>
      <c r="H335" s="11">
        <f t="shared" ref="H335:H398" ca="1" si="71">MIN(C335, E335, G335)</f>
        <v>1100</v>
      </c>
      <c r="I335" s="11">
        <f t="shared" ref="I335:I398" ca="1" si="72">RAND()</f>
        <v>0.59393874345632569</v>
      </c>
      <c r="J335" s="11">
        <f t="shared" ref="J335:J398" ca="1" si="73">LOOKUP(I335, $G$2:$G$4, $E$2:$E$4)</f>
        <v>5</v>
      </c>
      <c r="K335" s="24">
        <v>96</v>
      </c>
      <c r="L335" s="24">
        <f t="shared" ref="L335:L398" ca="1" si="74">J335*10</f>
        <v>50</v>
      </c>
      <c r="M335" s="24">
        <v>400</v>
      </c>
      <c r="N335" s="24">
        <v>20</v>
      </c>
      <c r="O335" s="24">
        <f t="shared" ref="O335:O398" ca="1" si="75">K335+L335+M335+N335</f>
        <v>566</v>
      </c>
      <c r="P335" s="24">
        <v>353</v>
      </c>
      <c r="Q335" s="11">
        <f t="shared" ref="Q335:Q398" ca="1" si="76">J335*10</f>
        <v>50</v>
      </c>
      <c r="R335" s="24">
        <v>200</v>
      </c>
      <c r="S335" s="24">
        <v>10</v>
      </c>
      <c r="T335" s="24">
        <f t="shared" ref="T335:T398" ca="1" si="77">SUM(P335:S335)</f>
        <v>613</v>
      </c>
    </row>
    <row r="336" spans="1:20" x14ac:dyDescent="0.45">
      <c r="A336" s="11">
        <v>323</v>
      </c>
      <c r="B336" s="11">
        <f t="shared" ca="1" si="65"/>
        <v>0.35739279673472502</v>
      </c>
      <c r="C336" s="11">
        <f t="shared" ca="1" si="66"/>
        <v>1200</v>
      </c>
      <c r="D336" s="11">
        <f t="shared" ca="1" si="67"/>
        <v>0.91347718167073932</v>
      </c>
      <c r="E336" s="11">
        <f t="shared" ca="1" si="68"/>
        <v>1800</v>
      </c>
      <c r="F336" s="11">
        <f t="shared" ca="1" si="69"/>
        <v>0.99477183378471057</v>
      </c>
      <c r="G336" s="11">
        <f t="shared" ca="1" si="70"/>
        <v>1900</v>
      </c>
      <c r="H336" s="11">
        <f t="shared" ca="1" si="71"/>
        <v>1200</v>
      </c>
      <c r="I336" s="11">
        <f t="shared" ca="1" si="72"/>
        <v>0.83637144344449321</v>
      </c>
      <c r="J336" s="11">
        <f t="shared" ca="1" si="73"/>
        <v>10</v>
      </c>
      <c r="K336" s="24">
        <v>96</v>
      </c>
      <c r="L336" s="24">
        <f t="shared" ca="1" si="74"/>
        <v>100</v>
      </c>
      <c r="M336" s="24">
        <v>400</v>
      </c>
      <c r="N336" s="24">
        <v>20</v>
      </c>
      <c r="O336" s="24">
        <f t="shared" ca="1" si="75"/>
        <v>616</v>
      </c>
      <c r="P336" s="24">
        <v>354</v>
      </c>
      <c r="Q336" s="11">
        <f t="shared" ca="1" si="76"/>
        <v>100</v>
      </c>
      <c r="R336" s="24">
        <v>200</v>
      </c>
      <c r="S336" s="24">
        <v>10</v>
      </c>
      <c r="T336" s="24">
        <f t="shared" ca="1" si="77"/>
        <v>664</v>
      </c>
    </row>
    <row r="337" spans="1:20" x14ac:dyDescent="0.45">
      <c r="A337" s="11">
        <v>324</v>
      </c>
      <c r="B337" s="11">
        <f t="shared" ca="1" si="65"/>
        <v>0.5283237750971026</v>
      </c>
      <c r="C337" s="11">
        <f t="shared" ca="1" si="66"/>
        <v>1300</v>
      </c>
      <c r="D337" s="11">
        <f t="shared" ca="1" si="67"/>
        <v>0.79046281135923158</v>
      </c>
      <c r="E337" s="11">
        <f t="shared" ca="1" si="68"/>
        <v>1500</v>
      </c>
      <c r="F337" s="11">
        <f t="shared" ca="1" si="69"/>
        <v>0.20941727114837838</v>
      </c>
      <c r="G337" s="11">
        <f t="shared" ca="1" si="70"/>
        <v>1100</v>
      </c>
      <c r="H337" s="11">
        <f t="shared" ca="1" si="71"/>
        <v>1100</v>
      </c>
      <c r="I337" s="11">
        <f t="shared" ca="1" si="72"/>
        <v>0.97620680913195756</v>
      </c>
      <c r="J337" s="11">
        <f t="shared" ca="1" si="73"/>
        <v>15</v>
      </c>
      <c r="K337" s="24">
        <v>96</v>
      </c>
      <c r="L337" s="24">
        <f t="shared" ca="1" si="74"/>
        <v>150</v>
      </c>
      <c r="M337" s="24">
        <v>400</v>
      </c>
      <c r="N337" s="24">
        <v>20</v>
      </c>
      <c r="O337" s="24">
        <f t="shared" ca="1" si="75"/>
        <v>666</v>
      </c>
      <c r="P337" s="24">
        <v>355</v>
      </c>
      <c r="Q337" s="11">
        <f t="shared" ca="1" si="76"/>
        <v>150</v>
      </c>
      <c r="R337" s="24">
        <v>200</v>
      </c>
      <c r="S337" s="24">
        <v>10</v>
      </c>
      <c r="T337" s="24">
        <f t="shared" ca="1" si="77"/>
        <v>715</v>
      </c>
    </row>
    <row r="338" spans="1:20" x14ac:dyDescent="0.45">
      <c r="A338" s="11">
        <v>325</v>
      </c>
      <c r="B338" s="11">
        <f t="shared" ca="1" si="65"/>
        <v>0.37408548236436345</v>
      </c>
      <c r="C338" s="11">
        <f t="shared" ca="1" si="66"/>
        <v>1200</v>
      </c>
      <c r="D338" s="11">
        <f t="shared" ca="1" si="67"/>
        <v>0.5655190349633008</v>
      </c>
      <c r="E338" s="11">
        <f t="shared" ca="1" si="68"/>
        <v>1300</v>
      </c>
      <c r="F338" s="11">
        <f t="shared" ca="1" si="69"/>
        <v>0.45986374154718435</v>
      </c>
      <c r="G338" s="11">
        <f t="shared" ca="1" si="70"/>
        <v>1200</v>
      </c>
      <c r="H338" s="11">
        <f t="shared" ca="1" si="71"/>
        <v>1200</v>
      </c>
      <c r="I338" s="11">
        <f t="shared" ca="1" si="72"/>
        <v>0.3868964712105788</v>
      </c>
      <c r="J338" s="11">
        <f t="shared" ca="1" si="73"/>
        <v>5</v>
      </c>
      <c r="K338" s="24">
        <v>96</v>
      </c>
      <c r="L338" s="24">
        <f t="shared" ca="1" si="74"/>
        <v>50</v>
      </c>
      <c r="M338" s="24">
        <v>400</v>
      </c>
      <c r="N338" s="24">
        <v>20</v>
      </c>
      <c r="O338" s="24">
        <f t="shared" ca="1" si="75"/>
        <v>566</v>
      </c>
      <c r="P338" s="24">
        <v>356</v>
      </c>
      <c r="Q338" s="11">
        <f t="shared" ca="1" si="76"/>
        <v>50</v>
      </c>
      <c r="R338" s="24">
        <v>200</v>
      </c>
      <c r="S338" s="24">
        <v>10</v>
      </c>
      <c r="T338" s="24">
        <f t="shared" ca="1" si="77"/>
        <v>616</v>
      </c>
    </row>
    <row r="339" spans="1:20" x14ac:dyDescent="0.45">
      <c r="A339" s="11">
        <v>326</v>
      </c>
      <c r="B339" s="11">
        <f t="shared" ca="1" si="65"/>
        <v>0.85293995366268549</v>
      </c>
      <c r="C339" s="11">
        <f t="shared" ca="1" si="66"/>
        <v>1700</v>
      </c>
      <c r="D339" s="11">
        <f t="shared" ca="1" si="67"/>
        <v>1.7583710529810337E-2</v>
      </c>
      <c r="E339" s="11">
        <f t="shared" ca="1" si="68"/>
        <v>1000</v>
      </c>
      <c r="F339" s="11">
        <f t="shared" ca="1" si="69"/>
        <v>0.2596959083484397</v>
      </c>
      <c r="G339" s="11">
        <f t="shared" ca="1" si="70"/>
        <v>1200</v>
      </c>
      <c r="H339" s="11">
        <f t="shared" ca="1" si="71"/>
        <v>1000</v>
      </c>
      <c r="I339" s="11">
        <f t="shared" ca="1" si="72"/>
        <v>0.29383291711783532</v>
      </c>
      <c r="J339" s="11">
        <f t="shared" ca="1" si="73"/>
        <v>5</v>
      </c>
      <c r="K339" s="24">
        <v>96</v>
      </c>
      <c r="L339" s="24">
        <f t="shared" ca="1" si="74"/>
        <v>50</v>
      </c>
      <c r="M339" s="24">
        <v>400</v>
      </c>
      <c r="N339" s="24">
        <v>20</v>
      </c>
      <c r="O339" s="24">
        <f t="shared" ca="1" si="75"/>
        <v>566</v>
      </c>
      <c r="P339" s="24">
        <v>357</v>
      </c>
      <c r="Q339" s="11">
        <f t="shared" ca="1" si="76"/>
        <v>50</v>
      </c>
      <c r="R339" s="24">
        <v>200</v>
      </c>
      <c r="S339" s="24">
        <v>10</v>
      </c>
      <c r="T339" s="24">
        <f t="shared" ca="1" si="77"/>
        <v>617</v>
      </c>
    </row>
    <row r="340" spans="1:20" x14ac:dyDescent="0.45">
      <c r="A340" s="11">
        <v>327</v>
      </c>
      <c r="B340" s="11">
        <f t="shared" ca="1" si="65"/>
        <v>0.76839147561579557</v>
      </c>
      <c r="C340" s="11">
        <f t="shared" ca="1" si="66"/>
        <v>1500</v>
      </c>
      <c r="D340" s="11">
        <f t="shared" ca="1" si="67"/>
        <v>0.37385907024525233</v>
      </c>
      <c r="E340" s="11">
        <f t="shared" ca="1" si="68"/>
        <v>1200</v>
      </c>
      <c r="F340" s="11">
        <f t="shared" ca="1" si="69"/>
        <v>0.21828006413973977</v>
      </c>
      <c r="G340" s="11">
        <f t="shared" ca="1" si="70"/>
        <v>1100</v>
      </c>
      <c r="H340" s="11">
        <f t="shared" ca="1" si="71"/>
        <v>1100</v>
      </c>
      <c r="I340" s="11">
        <f t="shared" ca="1" si="72"/>
        <v>0.73386361924170351</v>
      </c>
      <c r="J340" s="11">
        <f t="shared" ca="1" si="73"/>
        <v>10</v>
      </c>
      <c r="K340" s="24">
        <v>96</v>
      </c>
      <c r="L340" s="24">
        <f t="shared" ca="1" si="74"/>
        <v>100</v>
      </c>
      <c r="M340" s="24">
        <v>400</v>
      </c>
      <c r="N340" s="24">
        <v>20</v>
      </c>
      <c r="O340" s="24">
        <f t="shared" ca="1" si="75"/>
        <v>616</v>
      </c>
      <c r="P340" s="24">
        <v>358</v>
      </c>
      <c r="Q340" s="11">
        <f t="shared" ca="1" si="76"/>
        <v>100</v>
      </c>
      <c r="R340" s="24">
        <v>200</v>
      </c>
      <c r="S340" s="24">
        <v>10</v>
      </c>
      <c r="T340" s="24">
        <f t="shared" ca="1" si="77"/>
        <v>668</v>
      </c>
    </row>
    <row r="341" spans="1:20" x14ac:dyDescent="0.45">
      <c r="A341" s="11">
        <v>328</v>
      </c>
      <c r="B341" s="11">
        <f t="shared" ca="1" si="65"/>
        <v>0.31635717189279322</v>
      </c>
      <c r="C341" s="11">
        <f t="shared" ca="1" si="66"/>
        <v>1200</v>
      </c>
      <c r="D341" s="11">
        <f t="shared" ca="1" si="67"/>
        <v>0.41978219050653709</v>
      </c>
      <c r="E341" s="11">
        <f t="shared" ca="1" si="68"/>
        <v>1200</v>
      </c>
      <c r="F341" s="11">
        <f t="shared" ca="1" si="69"/>
        <v>0.44155186783059286</v>
      </c>
      <c r="G341" s="11">
        <f t="shared" ca="1" si="70"/>
        <v>1200</v>
      </c>
      <c r="H341" s="11">
        <f t="shared" ca="1" si="71"/>
        <v>1200</v>
      </c>
      <c r="I341" s="11">
        <f t="shared" ca="1" si="72"/>
        <v>0.92815938661825714</v>
      </c>
      <c r="J341" s="11">
        <f t="shared" ca="1" si="73"/>
        <v>15</v>
      </c>
      <c r="K341" s="24">
        <v>96</v>
      </c>
      <c r="L341" s="24">
        <f t="shared" ca="1" si="74"/>
        <v>150</v>
      </c>
      <c r="M341" s="24">
        <v>400</v>
      </c>
      <c r="N341" s="24">
        <v>20</v>
      </c>
      <c r="O341" s="24">
        <f t="shared" ca="1" si="75"/>
        <v>666</v>
      </c>
      <c r="P341" s="24">
        <v>359</v>
      </c>
      <c r="Q341" s="11">
        <f t="shared" ca="1" si="76"/>
        <v>150</v>
      </c>
      <c r="R341" s="24">
        <v>200</v>
      </c>
      <c r="S341" s="24">
        <v>10</v>
      </c>
      <c r="T341" s="24">
        <f t="shared" ca="1" si="77"/>
        <v>719</v>
      </c>
    </row>
    <row r="342" spans="1:20" x14ac:dyDescent="0.45">
      <c r="A342" s="11">
        <v>329</v>
      </c>
      <c r="B342" s="11">
        <f t="shared" ca="1" si="65"/>
        <v>0.7656162597133791</v>
      </c>
      <c r="C342" s="11">
        <f t="shared" ca="1" si="66"/>
        <v>1500</v>
      </c>
      <c r="D342" s="11">
        <f t="shared" ca="1" si="67"/>
        <v>0.50845699584018156</v>
      </c>
      <c r="E342" s="11">
        <f t="shared" ca="1" si="68"/>
        <v>1300</v>
      </c>
      <c r="F342" s="11">
        <f t="shared" ca="1" si="69"/>
        <v>0.90988125653520946</v>
      </c>
      <c r="G342" s="11">
        <f t="shared" ca="1" si="70"/>
        <v>1800</v>
      </c>
      <c r="H342" s="11">
        <f t="shared" ca="1" si="71"/>
        <v>1300</v>
      </c>
      <c r="I342" s="11">
        <f t="shared" ca="1" si="72"/>
        <v>0.34823306254791453</v>
      </c>
      <c r="J342" s="11">
        <f t="shared" ca="1" si="73"/>
        <v>5</v>
      </c>
      <c r="K342" s="24">
        <v>96</v>
      </c>
      <c r="L342" s="24">
        <f t="shared" ca="1" si="74"/>
        <v>50</v>
      </c>
      <c r="M342" s="24">
        <v>400</v>
      </c>
      <c r="N342" s="24">
        <v>20</v>
      </c>
      <c r="O342" s="24">
        <f t="shared" ca="1" si="75"/>
        <v>566</v>
      </c>
      <c r="P342" s="24">
        <v>360</v>
      </c>
      <c r="Q342" s="11">
        <f t="shared" ca="1" si="76"/>
        <v>50</v>
      </c>
      <c r="R342" s="24">
        <v>200</v>
      </c>
      <c r="S342" s="24">
        <v>10</v>
      </c>
      <c r="T342" s="24">
        <f t="shared" ca="1" si="77"/>
        <v>620</v>
      </c>
    </row>
    <row r="343" spans="1:20" x14ac:dyDescent="0.45">
      <c r="A343" s="11">
        <v>330</v>
      </c>
      <c r="B343" s="11">
        <f t="shared" ca="1" si="65"/>
        <v>1.3284098043033432E-2</v>
      </c>
      <c r="C343" s="11">
        <f t="shared" ca="1" si="66"/>
        <v>1000</v>
      </c>
      <c r="D343" s="11">
        <f t="shared" ca="1" si="67"/>
        <v>3.3407406049846045E-2</v>
      </c>
      <c r="E343" s="11">
        <f t="shared" ca="1" si="68"/>
        <v>1000</v>
      </c>
      <c r="F343" s="11">
        <f t="shared" ca="1" si="69"/>
        <v>0.43292033683057618</v>
      </c>
      <c r="G343" s="11">
        <f t="shared" ca="1" si="70"/>
        <v>1200</v>
      </c>
      <c r="H343" s="11">
        <f t="shared" ca="1" si="71"/>
        <v>1000</v>
      </c>
      <c r="I343" s="11">
        <f t="shared" ca="1" si="72"/>
        <v>4.8244754341143836E-2</v>
      </c>
      <c r="J343" s="11">
        <f t="shared" ca="1" si="73"/>
        <v>5</v>
      </c>
      <c r="K343" s="24">
        <v>96</v>
      </c>
      <c r="L343" s="24">
        <f t="shared" ca="1" si="74"/>
        <v>50</v>
      </c>
      <c r="M343" s="24">
        <v>400</v>
      </c>
      <c r="N343" s="24">
        <v>20</v>
      </c>
      <c r="O343" s="24">
        <f t="shared" ca="1" si="75"/>
        <v>566</v>
      </c>
      <c r="P343" s="24">
        <v>361</v>
      </c>
      <c r="Q343" s="11">
        <f t="shared" ca="1" si="76"/>
        <v>50</v>
      </c>
      <c r="R343" s="24">
        <v>200</v>
      </c>
      <c r="S343" s="24">
        <v>10</v>
      </c>
      <c r="T343" s="24">
        <f t="shared" ca="1" si="77"/>
        <v>621</v>
      </c>
    </row>
    <row r="344" spans="1:20" x14ac:dyDescent="0.45">
      <c r="A344" s="11">
        <v>331</v>
      </c>
      <c r="B344" s="11">
        <f t="shared" ca="1" si="65"/>
        <v>0.76673217067579236</v>
      </c>
      <c r="C344" s="11">
        <f t="shared" ca="1" si="66"/>
        <v>1500</v>
      </c>
      <c r="D344" s="11">
        <f t="shared" ca="1" si="67"/>
        <v>0.14211189492219578</v>
      </c>
      <c r="E344" s="11">
        <f t="shared" ca="1" si="68"/>
        <v>1100</v>
      </c>
      <c r="F344" s="11">
        <f t="shared" ca="1" si="69"/>
        <v>9.6876069912998908E-2</v>
      </c>
      <c r="G344" s="11">
        <f t="shared" ca="1" si="70"/>
        <v>1000</v>
      </c>
      <c r="H344" s="11">
        <f t="shared" ca="1" si="71"/>
        <v>1000</v>
      </c>
      <c r="I344" s="11">
        <f t="shared" ca="1" si="72"/>
        <v>0.5119035778437776</v>
      </c>
      <c r="J344" s="11">
        <f t="shared" ca="1" si="73"/>
        <v>5</v>
      </c>
      <c r="K344" s="24">
        <v>96</v>
      </c>
      <c r="L344" s="24">
        <f t="shared" ca="1" si="74"/>
        <v>50</v>
      </c>
      <c r="M344" s="24">
        <v>400</v>
      </c>
      <c r="N344" s="24">
        <v>20</v>
      </c>
      <c r="O344" s="24">
        <f t="shared" ca="1" si="75"/>
        <v>566</v>
      </c>
      <c r="P344" s="24">
        <v>362</v>
      </c>
      <c r="Q344" s="11">
        <f t="shared" ca="1" si="76"/>
        <v>50</v>
      </c>
      <c r="R344" s="24">
        <v>200</v>
      </c>
      <c r="S344" s="24">
        <v>10</v>
      </c>
      <c r="T344" s="24">
        <f t="shared" ca="1" si="77"/>
        <v>622</v>
      </c>
    </row>
    <row r="345" spans="1:20" x14ac:dyDescent="0.45">
      <c r="A345" s="11">
        <v>332</v>
      </c>
      <c r="B345" s="11">
        <f t="shared" ca="1" si="65"/>
        <v>0.36728348824654633</v>
      </c>
      <c r="C345" s="11">
        <f t="shared" ca="1" si="66"/>
        <v>1200</v>
      </c>
      <c r="D345" s="11">
        <f t="shared" ca="1" si="67"/>
        <v>0.1310135963601784</v>
      </c>
      <c r="E345" s="11">
        <f t="shared" ca="1" si="68"/>
        <v>1100</v>
      </c>
      <c r="F345" s="11">
        <f t="shared" ca="1" si="69"/>
        <v>0.1480005694766533</v>
      </c>
      <c r="G345" s="11">
        <f t="shared" ca="1" si="70"/>
        <v>1100</v>
      </c>
      <c r="H345" s="11">
        <f t="shared" ca="1" si="71"/>
        <v>1100</v>
      </c>
      <c r="I345" s="11">
        <f t="shared" ca="1" si="72"/>
        <v>0.73825965729027054</v>
      </c>
      <c r="J345" s="11">
        <f t="shared" ca="1" si="73"/>
        <v>10</v>
      </c>
      <c r="K345" s="24">
        <v>96</v>
      </c>
      <c r="L345" s="24">
        <f t="shared" ca="1" si="74"/>
        <v>100</v>
      </c>
      <c r="M345" s="24">
        <v>400</v>
      </c>
      <c r="N345" s="24">
        <v>20</v>
      </c>
      <c r="O345" s="24">
        <f t="shared" ca="1" si="75"/>
        <v>616</v>
      </c>
      <c r="P345" s="24">
        <v>363</v>
      </c>
      <c r="Q345" s="11">
        <f t="shared" ca="1" si="76"/>
        <v>100</v>
      </c>
      <c r="R345" s="24">
        <v>200</v>
      </c>
      <c r="S345" s="24">
        <v>10</v>
      </c>
      <c r="T345" s="24">
        <f t="shared" ca="1" si="77"/>
        <v>673</v>
      </c>
    </row>
    <row r="346" spans="1:20" x14ac:dyDescent="0.45">
      <c r="A346" s="11">
        <v>333</v>
      </c>
      <c r="B346" s="11">
        <f t="shared" ca="1" si="65"/>
        <v>0.81334646234676344</v>
      </c>
      <c r="C346" s="11">
        <f t="shared" ca="1" si="66"/>
        <v>1500</v>
      </c>
      <c r="D346" s="11">
        <f t="shared" ca="1" si="67"/>
        <v>0.63201464662488915</v>
      </c>
      <c r="E346" s="11">
        <f t="shared" ca="1" si="68"/>
        <v>1400</v>
      </c>
      <c r="F346" s="11">
        <f t="shared" ca="1" si="69"/>
        <v>0.87975707697107208</v>
      </c>
      <c r="G346" s="11">
        <f t="shared" ca="1" si="70"/>
        <v>1700</v>
      </c>
      <c r="H346" s="11">
        <f t="shared" ca="1" si="71"/>
        <v>1400</v>
      </c>
      <c r="I346" s="11">
        <f t="shared" ca="1" si="72"/>
        <v>0.60228550733722996</v>
      </c>
      <c r="J346" s="11">
        <f t="shared" ca="1" si="73"/>
        <v>10</v>
      </c>
      <c r="K346" s="24">
        <v>96</v>
      </c>
      <c r="L346" s="24">
        <f t="shared" ca="1" si="74"/>
        <v>100</v>
      </c>
      <c r="M346" s="24">
        <v>400</v>
      </c>
      <c r="N346" s="24">
        <v>20</v>
      </c>
      <c r="O346" s="24">
        <f t="shared" ca="1" si="75"/>
        <v>616</v>
      </c>
      <c r="P346" s="24">
        <v>364</v>
      </c>
      <c r="Q346" s="11">
        <f t="shared" ca="1" si="76"/>
        <v>100</v>
      </c>
      <c r="R346" s="24">
        <v>200</v>
      </c>
      <c r="S346" s="24">
        <v>10</v>
      </c>
      <c r="T346" s="24">
        <f t="shared" ca="1" si="77"/>
        <v>674</v>
      </c>
    </row>
    <row r="347" spans="1:20" x14ac:dyDescent="0.45">
      <c r="A347" s="11">
        <v>334</v>
      </c>
      <c r="B347" s="11">
        <f t="shared" ca="1" si="65"/>
        <v>0.46467888762914611</v>
      </c>
      <c r="C347" s="11">
        <f t="shared" ca="1" si="66"/>
        <v>1200</v>
      </c>
      <c r="D347" s="11">
        <f t="shared" ca="1" si="67"/>
        <v>0.36953611052030255</v>
      </c>
      <c r="E347" s="11">
        <f t="shared" ca="1" si="68"/>
        <v>1200</v>
      </c>
      <c r="F347" s="11">
        <f t="shared" ca="1" si="69"/>
        <v>0.26700326226050553</v>
      </c>
      <c r="G347" s="11">
        <f t="shared" ca="1" si="70"/>
        <v>1200</v>
      </c>
      <c r="H347" s="11">
        <f t="shared" ca="1" si="71"/>
        <v>1200</v>
      </c>
      <c r="I347" s="11">
        <f t="shared" ca="1" si="72"/>
        <v>0.44818814025185305</v>
      </c>
      <c r="J347" s="11">
        <f t="shared" ca="1" si="73"/>
        <v>5</v>
      </c>
      <c r="K347" s="24">
        <v>96</v>
      </c>
      <c r="L347" s="24">
        <f t="shared" ca="1" si="74"/>
        <v>50</v>
      </c>
      <c r="M347" s="24">
        <v>400</v>
      </c>
      <c r="N347" s="24">
        <v>20</v>
      </c>
      <c r="O347" s="24">
        <f t="shared" ca="1" si="75"/>
        <v>566</v>
      </c>
      <c r="P347" s="24">
        <v>365</v>
      </c>
      <c r="Q347" s="11">
        <f t="shared" ca="1" si="76"/>
        <v>50</v>
      </c>
      <c r="R347" s="24">
        <v>200</v>
      </c>
      <c r="S347" s="24">
        <v>10</v>
      </c>
      <c r="T347" s="24">
        <f t="shared" ca="1" si="77"/>
        <v>625</v>
      </c>
    </row>
    <row r="348" spans="1:20" x14ac:dyDescent="0.45">
      <c r="A348" s="11">
        <v>335</v>
      </c>
      <c r="B348" s="11">
        <f t="shared" ca="1" si="65"/>
        <v>0.93478563188200048</v>
      </c>
      <c r="C348" s="11">
        <f t="shared" ca="1" si="66"/>
        <v>1800</v>
      </c>
      <c r="D348" s="11">
        <f t="shared" ca="1" si="67"/>
        <v>0.38155221034086506</v>
      </c>
      <c r="E348" s="11">
        <f t="shared" ca="1" si="68"/>
        <v>1200</v>
      </c>
      <c r="F348" s="11">
        <f t="shared" ca="1" si="69"/>
        <v>0.70770163144439324</v>
      </c>
      <c r="G348" s="11">
        <f t="shared" ca="1" si="70"/>
        <v>1500</v>
      </c>
      <c r="H348" s="11">
        <f t="shared" ca="1" si="71"/>
        <v>1200</v>
      </c>
      <c r="I348" s="11">
        <f t="shared" ca="1" si="72"/>
        <v>0.14973198136014976</v>
      </c>
      <c r="J348" s="11">
        <f t="shared" ca="1" si="73"/>
        <v>5</v>
      </c>
      <c r="K348" s="24">
        <v>96</v>
      </c>
      <c r="L348" s="24">
        <f t="shared" ca="1" si="74"/>
        <v>50</v>
      </c>
      <c r="M348" s="24">
        <v>400</v>
      </c>
      <c r="N348" s="24">
        <v>20</v>
      </c>
      <c r="O348" s="24">
        <f t="shared" ca="1" si="75"/>
        <v>566</v>
      </c>
      <c r="P348" s="24">
        <v>366</v>
      </c>
      <c r="Q348" s="11">
        <f t="shared" ca="1" si="76"/>
        <v>50</v>
      </c>
      <c r="R348" s="24">
        <v>200</v>
      </c>
      <c r="S348" s="24">
        <v>10</v>
      </c>
      <c r="T348" s="24">
        <f t="shared" ca="1" si="77"/>
        <v>626</v>
      </c>
    </row>
    <row r="349" spans="1:20" x14ac:dyDescent="0.45">
      <c r="A349" s="11">
        <v>336</v>
      </c>
      <c r="B349" s="11">
        <f t="shared" ca="1" si="65"/>
        <v>0.78411426814509211</v>
      </c>
      <c r="C349" s="11">
        <f t="shared" ca="1" si="66"/>
        <v>1500</v>
      </c>
      <c r="D349" s="11">
        <f t="shared" ca="1" si="67"/>
        <v>0.13840247884431212</v>
      </c>
      <c r="E349" s="11">
        <f t="shared" ca="1" si="68"/>
        <v>1100</v>
      </c>
      <c r="F349" s="11">
        <f t="shared" ca="1" si="69"/>
        <v>0.6890812172478481</v>
      </c>
      <c r="G349" s="11">
        <f t="shared" ca="1" si="70"/>
        <v>1400</v>
      </c>
      <c r="H349" s="11">
        <f t="shared" ca="1" si="71"/>
        <v>1100</v>
      </c>
      <c r="I349" s="11">
        <f t="shared" ca="1" si="72"/>
        <v>0.5195248146337641</v>
      </c>
      <c r="J349" s="11">
        <f t="shared" ca="1" si="73"/>
        <v>5</v>
      </c>
      <c r="K349" s="24">
        <v>96</v>
      </c>
      <c r="L349" s="24">
        <f t="shared" ca="1" si="74"/>
        <v>50</v>
      </c>
      <c r="M349" s="24">
        <v>400</v>
      </c>
      <c r="N349" s="24">
        <v>20</v>
      </c>
      <c r="O349" s="24">
        <f t="shared" ca="1" si="75"/>
        <v>566</v>
      </c>
      <c r="P349" s="24">
        <v>367</v>
      </c>
      <c r="Q349" s="11">
        <f t="shared" ca="1" si="76"/>
        <v>50</v>
      </c>
      <c r="R349" s="24">
        <v>200</v>
      </c>
      <c r="S349" s="24">
        <v>10</v>
      </c>
      <c r="T349" s="24">
        <f t="shared" ca="1" si="77"/>
        <v>627</v>
      </c>
    </row>
    <row r="350" spans="1:20" x14ac:dyDescent="0.45">
      <c r="A350" s="11">
        <v>337</v>
      </c>
      <c r="B350" s="11">
        <f t="shared" ca="1" si="65"/>
        <v>0.28235763954904392</v>
      </c>
      <c r="C350" s="11">
        <f t="shared" ca="1" si="66"/>
        <v>1200</v>
      </c>
      <c r="D350" s="11">
        <f t="shared" ca="1" si="67"/>
        <v>2.0965902469350595E-2</v>
      </c>
      <c r="E350" s="11">
        <f t="shared" ca="1" si="68"/>
        <v>1000</v>
      </c>
      <c r="F350" s="11">
        <f t="shared" ca="1" si="69"/>
        <v>0.45351127735772367</v>
      </c>
      <c r="G350" s="11">
        <f t="shared" ca="1" si="70"/>
        <v>1200</v>
      </c>
      <c r="H350" s="11">
        <f t="shared" ca="1" si="71"/>
        <v>1000</v>
      </c>
      <c r="I350" s="11">
        <f t="shared" ca="1" si="72"/>
        <v>0.86546988121652224</v>
      </c>
      <c r="J350" s="11">
        <f t="shared" ca="1" si="73"/>
        <v>10</v>
      </c>
      <c r="K350" s="24">
        <v>96</v>
      </c>
      <c r="L350" s="24">
        <f t="shared" ca="1" si="74"/>
        <v>100</v>
      </c>
      <c r="M350" s="24">
        <v>400</v>
      </c>
      <c r="N350" s="24">
        <v>20</v>
      </c>
      <c r="O350" s="24">
        <f t="shared" ca="1" si="75"/>
        <v>616</v>
      </c>
      <c r="P350" s="24">
        <v>368</v>
      </c>
      <c r="Q350" s="11">
        <f t="shared" ca="1" si="76"/>
        <v>100</v>
      </c>
      <c r="R350" s="24">
        <v>200</v>
      </c>
      <c r="S350" s="24">
        <v>10</v>
      </c>
      <c r="T350" s="24">
        <f t="shared" ca="1" si="77"/>
        <v>678</v>
      </c>
    </row>
    <row r="351" spans="1:20" x14ac:dyDescent="0.45">
      <c r="A351" s="11">
        <v>338</v>
      </c>
      <c r="B351" s="11">
        <f t="shared" ca="1" si="65"/>
        <v>0.36288101083376334</v>
      </c>
      <c r="C351" s="11">
        <f t="shared" ca="1" si="66"/>
        <v>1200</v>
      </c>
      <c r="D351" s="11">
        <f t="shared" ca="1" si="67"/>
        <v>0.14946737937579146</v>
      </c>
      <c r="E351" s="11">
        <f t="shared" ca="1" si="68"/>
        <v>1100</v>
      </c>
      <c r="F351" s="11">
        <f t="shared" ca="1" si="69"/>
        <v>0.45613405711453148</v>
      </c>
      <c r="G351" s="11">
        <f t="shared" ca="1" si="70"/>
        <v>1200</v>
      </c>
      <c r="H351" s="11">
        <f t="shared" ca="1" si="71"/>
        <v>1100</v>
      </c>
      <c r="I351" s="11">
        <f t="shared" ca="1" si="72"/>
        <v>0.68217779518499211</v>
      </c>
      <c r="J351" s="11">
        <f t="shared" ca="1" si="73"/>
        <v>10</v>
      </c>
      <c r="K351" s="24">
        <v>96</v>
      </c>
      <c r="L351" s="24">
        <f t="shared" ca="1" si="74"/>
        <v>100</v>
      </c>
      <c r="M351" s="24">
        <v>400</v>
      </c>
      <c r="N351" s="24">
        <v>20</v>
      </c>
      <c r="O351" s="24">
        <f t="shared" ca="1" si="75"/>
        <v>616</v>
      </c>
      <c r="P351" s="24">
        <v>369</v>
      </c>
      <c r="Q351" s="11">
        <f t="shared" ca="1" si="76"/>
        <v>100</v>
      </c>
      <c r="R351" s="24">
        <v>200</v>
      </c>
      <c r="S351" s="24">
        <v>10</v>
      </c>
      <c r="T351" s="24">
        <f t="shared" ca="1" si="77"/>
        <v>679</v>
      </c>
    </row>
    <row r="352" spans="1:20" x14ac:dyDescent="0.45">
      <c r="A352" s="11">
        <v>339</v>
      </c>
      <c r="B352" s="11">
        <f t="shared" ca="1" si="65"/>
        <v>0.16310783006678065</v>
      </c>
      <c r="C352" s="11">
        <f t="shared" ca="1" si="66"/>
        <v>1100</v>
      </c>
      <c r="D352" s="11">
        <f t="shared" ca="1" si="67"/>
        <v>0.67999177354368123</v>
      </c>
      <c r="E352" s="11">
        <f t="shared" ca="1" si="68"/>
        <v>1400</v>
      </c>
      <c r="F352" s="11">
        <f t="shared" ca="1" si="69"/>
        <v>0.88030323151936563</v>
      </c>
      <c r="G352" s="11">
        <f t="shared" ca="1" si="70"/>
        <v>1700</v>
      </c>
      <c r="H352" s="11">
        <f t="shared" ca="1" si="71"/>
        <v>1100</v>
      </c>
      <c r="I352" s="11">
        <f t="shared" ca="1" si="72"/>
        <v>0.72832507769333787</v>
      </c>
      <c r="J352" s="11">
        <f t="shared" ca="1" si="73"/>
        <v>10</v>
      </c>
      <c r="K352" s="24">
        <v>96</v>
      </c>
      <c r="L352" s="24">
        <f t="shared" ca="1" si="74"/>
        <v>100</v>
      </c>
      <c r="M352" s="24">
        <v>400</v>
      </c>
      <c r="N352" s="24">
        <v>20</v>
      </c>
      <c r="O352" s="24">
        <f t="shared" ca="1" si="75"/>
        <v>616</v>
      </c>
      <c r="P352" s="24">
        <v>370</v>
      </c>
      <c r="Q352" s="11">
        <f t="shared" ca="1" si="76"/>
        <v>100</v>
      </c>
      <c r="R352" s="24">
        <v>200</v>
      </c>
      <c r="S352" s="24">
        <v>10</v>
      </c>
      <c r="T352" s="24">
        <f t="shared" ca="1" si="77"/>
        <v>680</v>
      </c>
    </row>
    <row r="353" spans="1:20" x14ac:dyDescent="0.45">
      <c r="A353" s="11">
        <v>340</v>
      </c>
      <c r="B353" s="11">
        <f t="shared" ca="1" si="65"/>
        <v>0.86820752190084749</v>
      </c>
      <c r="C353" s="11">
        <f t="shared" ca="1" si="66"/>
        <v>1700</v>
      </c>
      <c r="D353" s="11">
        <f t="shared" ca="1" si="67"/>
        <v>0.19031735728202015</v>
      </c>
      <c r="E353" s="11">
        <f t="shared" ca="1" si="68"/>
        <v>1100</v>
      </c>
      <c r="F353" s="11">
        <f t="shared" ca="1" si="69"/>
        <v>0.58034774851529325</v>
      </c>
      <c r="G353" s="11">
        <f t="shared" ca="1" si="70"/>
        <v>1300</v>
      </c>
      <c r="H353" s="11">
        <f t="shared" ca="1" si="71"/>
        <v>1100</v>
      </c>
      <c r="I353" s="11">
        <f t="shared" ca="1" si="72"/>
        <v>6.9157324072343984E-2</v>
      </c>
      <c r="J353" s="11">
        <f t="shared" ca="1" si="73"/>
        <v>5</v>
      </c>
      <c r="K353" s="24">
        <v>96</v>
      </c>
      <c r="L353" s="24">
        <f t="shared" ca="1" si="74"/>
        <v>50</v>
      </c>
      <c r="M353" s="24">
        <v>400</v>
      </c>
      <c r="N353" s="24">
        <v>20</v>
      </c>
      <c r="O353" s="24">
        <f t="shared" ca="1" si="75"/>
        <v>566</v>
      </c>
      <c r="P353" s="24">
        <v>371</v>
      </c>
      <c r="Q353" s="11">
        <f t="shared" ca="1" si="76"/>
        <v>50</v>
      </c>
      <c r="R353" s="24">
        <v>200</v>
      </c>
      <c r="S353" s="24">
        <v>10</v>
      </c>
      <c r="T353" s="24">
        <f t="shared" ca="1" si="77"/>
        <v>631</v>
      </c>
    </row>
    <row r="354" spans="1:20" x14ac:dyDescent="0.45">
      <c r="A354" s="11">
        <v>341</v>
      </c>
      <c r="B354" s="11">
        <f t="shared" ca="1" si="65"/>
        <v>0.65741109263778974</v>
      </c>
      <c r="C354" s="11">
        <f t="shared" ca="1" si="66"/>
        <v>1400</v>
      </c>
      <c r="D354" s="11">
        <f t="shared" ca="1" si="67"/>
        <v>0.73016971089224691</v>
      </c>
      <c r="E354" s="11">
        <f t="shared" ca="1" si="68"/>
        <v>1500</v>
      </c>
      <c r="F354" s="11">
        <f t="shared" ca="1" si="69"/>
        <v>0.60359955450536962</v>
      </c>
      <c r="G354" s="11">
        <f t="shared" ca="1" si="70"/>
        <v>1300</v>
      </c>
      <c r="H354" s="11">
        <f t="shared" ca="1" si="71"/>
        <v>1300</v>
      </c>
      <c r="I354" s="11">
        <f t="shared" ca="1" si="72"/>
        <v>0.87753015219767794</v>
      </c>
      <c r="J354" s="11">
        <f t="shared" ca="1" si="73"/>
        <v>10</v>
      </c>
      <c r="K354" s="24">
        <v>96</v>
      </c>
      <c r="L354" s="24">
        <f t="shared" ca="1" si="74"/>
        <v>100</v>
      </c>
      <c r="M354" s="24">
        <v>400</v>
      </c>
      <c r="N354" s="24">
        <v>20</v>
      </c>
      <c r="O354" s="24">
        <f t="shared" ca="1" si="75"/>
        <v>616</v>
      </c>
      <c r="P354" s="24">
        <v>372</v>
      </c>
      <c r="Q354" s="11">
        <f t="shared" ca="1" si="76"/>
        <v>100</v>
      </c>
      <c r="R354" s="24">
        <v>200</v>
      </c>
      <c r="S354" s="24">
        <v>10</v>
      </c>
      <c r="T354" s="24">
        <f t="shared" ca="1" si="77"/>
        <v>682</v>
      </c>
    </row>
    <row r="355" spans="1:20" x14ac:dyDescent="0.45">
      <c r="A355" s="11">
        <v>342</v>
      </c>
      <c r="B355" s="11">
        <f t="shared" ca="1" si="65"/>
        <v>0.23386740729936661</v>
      </c>
      <c r="C355" s="11">
        <f t="shared" ca="1" si="66"/>
        <v>1200</v>
      </c>
      <c r="D355" s="11">
        <f t="shared" ca="1" si="67"/>
        <v>0.77309044044826958</v>
      </c>
      <c r="E355" s="11">
        <f t="shared" ca="1" si="68"/>
        <v>1500</v>
      </c>
      <c r="F355" s="11">
        <f t="shared" ca="1" si="69"/>
        <v>0.40245423680126113</v>
      </c>
      <c r="G355" s="11">
        <f t="shared" ca="1" si="70"/>
        <v>1200</v>
      </c>
      <c r="H355" s="11">
        <f t="shared" ca="1" si="71"/>
        <v>1200</v>
      </c>
      <c r="I355" s="11">
        <f t="shared" ca="1" si="72"/>
        <v>0.24335880690458633</v>
      </c>
      <c r="J355" s="11">
        <f t="shared" ca="1" si="73"/>
        <v>5</v>
      </c>
      <c r="K355" s="24">
        <v>96</v>
      </c>
      <c r="L355" s="24">
        <f t="shared" ca="1" si="74"/>
        <v>50</v>
      </c>
      <c r="M355" s="24">
        <v>400</v>
      </c>
      <c r="N355" s="24">
        <v>20</v>
      </c>
      <c r="O355" s="24">
        <f t="shared" ca="1" si="75"/>
        <v>566</v>
      </c>
      <c r="P355" s="24">
        <v>373</v>
      </c>
      <c r="Q355" s="11">
        <f t="shared" ca="1" si="76"/>
        <v>50</v>
      </c>
      <c r="R355" s="24">
        <v>200</v>
      </c>
      <c r="S355" s="24">
        <v>10</v>
      </c>
      <c r="T355" s="24">
        <f t="shared" ca="1" si="77"/>
        <v>633</v>
      </c>
    </row>
    <row r="356" spans="1:20" x14ac:dyDescent="0.45">
      <c r="A356" s="11">
        <v>343</v>
      </c>
      <c r="B356" s="11">
        <f t="shared" ca="1" si="65"/>
        <v>0.58324021188618724</v>
      </c>
      <c r="C356" s="11">
        <f t="shared" ca="1" si="66"/>
        <v>1300</v>
      </c>
      <c r="D356" s="11">
        <f t="shared" ca="1" si="67"/>
        <v>0.89793044924778975</v>
      </c>
      <c r="E356" s="11">
        <f t="shared" ca="1" si="68"/>
        <v>1700</v>
      </c>
      <c r="F356" s="11">
        <f t="shared" ca="1" si="69"/>
        <v>0.26352367171187996</v>
      </c>
      <c r="G356" s="11">
        <f t="shared" ca="1" si="70"/>
        <v>1200</v>
      </c>
      <c r="H356" s="11">
        <f t="shared" ca="1" si="71"/>
        <v>1200</v>
      </c>
      <c r="I356" s="11">
        <f t="shared" ca="1" si="72"/>
        <v>0.37658324036690538</v>
      </c>
      <c r="J356" s="11">
        <f t="shared" ca="1" si="73"/>
        <v>5</v>
      </c>
      <c r="K356" s="24">
        <v>96</v>
      </c>
      <c r="L356" s="24">
        <f t="shared" ca="1" si="74"/>
        <v>50</v>
      </c>
      <c r="M356" s="24">
        <v>400</v>
      </c>
      <c r="N356" s="24">
        <v>20</v>
      </c>
      <c r="O356" s="24">
        <f t="shared" ca="1" si="75"/>
        <v>566</v>
      </c>
      <c r="P356" s="24">
        <v>374</v>
      </c>
      <c r="Q356" s="11">
        <f t="shared" ca="1" si="76"/>
        <v>50</v>
      </c>
      <c r="R356" s="24">
        <v>200</v>
      </c>
      <c r="S356" s="24">
        <v>10</v>
      </c>
      <c r="T356" s="24">
        <f t="shared" ca="1" si="77"/>
        <v>634</v>
      </c>
    </row>
    <row r="357" spans="1:20" x14ac:dyDescent="0.45">
      <c r="A357" s="11">
        <v>344</v>
      </c>
      <c r="B357" s="11">
        <f t="shared" ca="1" si="65"/>
        <v>0.29335564758229959</v>
      </c>
      <c r="C357" s="11">
        <f t="shared" ca="1" si="66"/>
        <v>1200</v>
      </c>
      <c r="D357" s="11">
        <f t="shared" ca="1" si="67"/>
        <v>0.62095964619330135</v>
      </c>
      <c r="E357" s="11">
        <f t="shared" ca="1" si="68"/>
        <v>1400</v>
      </c>
      <c r="F357" s="11">
        <f t="shared" ca="1" si="69"/>
        <v>0.94108150870968188</v>
      </c>
      <c r="G357" s="11">
        <f t="shared" ca="1" si="70"/>
        <v>1800</v>
      </c>
      <c r="H357" s="11">
        <f t="shared" ca="1" si="71"/>
        <v>1200</v>
      </c>
      <c r="I357" s="11">
        <f t="shared" ca="1" si="72"/>
        <v>0.51148133898082526</v>
      </c>
      <c r="J357" s="11">
        <f t="shared" ca="1" si="73"/>
        <v>5</v>
      </c>
      <c r="K357" s="24">
        <v>96</v>
      </c>
      <c r="L357" s="24">
        <f t="shared" ca="1" si="74"/>
        <v>50</v>
      </c>
      <c r="M357" s="24">
        <v>400</v>
      </c>
      <c r="N357" s="24">
        <v>20</v>
      </c>
      <c r="O357" s="24">
        <f t="shared" ca="1" si="75"/>
        <v>566</v>
      </c>
      <c r="P357" s="24">
        <v>375</v>
      </c>
      <c r="Q357" s="11">
        <f t="shared" ca="1" si="76"/>
        <v>50</v>
      </c>
      <c r="R357" s="24">
        <v>200</v>
      </c>
      <c r="S357" s="24">
        <v>10</v>
      </c>
      <c r="T357" s="24">
        <f t="shared" ca="1" si="77"/>
        <v>635</v>
      </c>
    </row>
    <row r="358" spans="1:20" x14ac:dyDescent="0.45">
      <c r="A358" s="11">
        <v>345</v>
      </c>
      <c r="B358" s="11">
        <f t="shared" ca="1" si="65"/>
        <v>0.71435989784381715</v>
      </c>
      <c r="C358" s="11">
        <f t="shared" ca="1" si="66"/>
        <v>1500</v>
      </c>
      <c r="D358" s="11">
        <f t="shared" ca="1" si="67"/>
        <v>0.35859037161397411</v>
      </c>
      <c r="E358" s="11">
        <f t="shared" ca="1" si="68"/>
        <v>1200</v>
      </c>
      <c r="F358" s="11">
        <f t="shared" ca="1" si="69"/>
        <v>0.25017706272265849</v>
      </c>
      <c r="G358" s="11">
        <f t="shared" ca="1" si="70"/>
        <v>1200</v>
      </c>
      <c r="H358" s="11">
        <f t="shared" ca="1" si="71"/>
        <v>1200</v>
      </c>
      <c r="I358" s="11">
        <f t="shared" ca="1" si="72"/>
        <v>0.92597532275534744</v>
      </c>
      <c r="J358" s="11">
        <f t="shared" ca="1" si="73"/>
        <v>15</v>
      </c>
      <c r="K358" s="24">
        <v>96</v>
      </c>
      <c r="L358" s="24">
        <f t="shared" ca="1" si="74"/>
        <v>150</v>
      </c>
      <c r="M358" s="24">
        <v>400</v>
      </c>
      <c r="N358" s="24">
        <v>20</v>
      </c>
      <c r="O358" s="24">
        <f t="shared" ca="1" si="75"/>
        <v>666</v>
      </c>
      <c r="P358" s="24">
        <v>376</v>
      </c>
      <c r="Q358" s="11">
        <f t="shared" ca="1" si="76"/>
        <v>150</v>
      </c>
      <c r="R358" s="24">
        <v>200</v>
      </c>
      <c r="S358" s="24">
        <v>10</v>
      </c>
      <c r="T358" s="24">
        <f t="shared" ca="1" si="77"/>
        <v>736</v>
      </c>
    </row>
    <row r="359" spans="1:20" x14ac:dyDescent="0.45">
      <c r="A359" s="11">
        <v>346</v>
      </c>
      <c r="B359" s="11">
        <f t="shared" ca="1" si="65"/>
        <v>0.11596557094185045</v>
      </c>
      <c r="C359" s="11">
        <f t="shared" ca="1" si="66"/>
        <v>1100</v>
      </c>
      <c r="D359" s="11">
        <f t="shared" ca="1" si="67"/>
        <v>0.56125896152996169</v>
      </c>
      <c r="E359" s="11">
        <f t="shared" ca="1" si="68"/>
        <v>1300</v>
      </c>
      <c r="F359" s="11">
        <f t="shared" ca="1" si="69"/>
        <v>0.70823641673889248</v>
      </c>
      <c r="G359" s="11">
        <f t="shared" ca="1" si="70"/>
        <v>1500</v>
      </c>
      <c r="H359" s="11">
        <f t="shared" ca="1" si="71"/>
        <v>1100</v>
      </c>
      <c r="I359" s="11">
        <f t="shared" ca="1" si="72"/>
        <v>0.59623534728832139</v>
      </c>
      <c r="J359" s="11">
        <f t="shared" ca="1" si="73"/>
        <v>5</v>
      </c>
      <c r="K359" s="24">
        <v>96</v>
      </c>
      <c r="L359" s="24">
        <f t="shared" ca="1" si="74"/>
        <v>50</v>
      </c>
      <c r="M359" s="24">
        <v>400</v>
      </c>
      <c r="N359" s="24">
        <v>20</v>
      </c>
      <c r="O359" s="24">
        <f t="shared" ca="1" si="75"/>
        <v>566</v>
      </c>
      <c r="P359" s="24">
        <v>377</v>
      </c>
      <c r="Q359" s="11">
        <f t="shared" ca="1" si="76"/>
        <v>50</v>
      </c>
      <c r="R359" s="24">
        <v>200</v>
      </c>
      <c r="S359" s="24">
        <v>10</v>
      </c>
      <c r="T359" s="24">
        <f t="shared" ca="1" si="77"/>
        <v>637</v>
      </c>
    </row>
    <row r="360" spans="1:20" x14ac:dyDescent="0.45">
      <c r="A360" s="11">
        <v>347</v>
      </c>
      <c r="B360" s="11">
        <f t="shared" ca="1" si="65"/>
        <v>0.98346717977042764</v>
      </c>
      <c r="C360" s="11">
        <f t="shared" ca="1" si="66"/>
        <v>1900</v>
      </c>
      <c r="D360" s="11">
        <f t="shared" ca="1" si="67"/>
        <v>0.91063370722166681</v>
      </c>
      <c r="E360" s="11">
        <f t="shared" ca="1" si="68"/>
        <v>1800</v>
      </c>
      <c r="F360" s="11">
        <f t="shared" ca="1" si="69"/>
        <v>0.17556990141375928</v>
      </c>
      <c r="G360" s="11">
        <f t="shared" ca="1" si="70"/>
        <v>1100</v>
      </c>
      <c r="H360" s="11">
        <f t="shared" ca="1" si="71"/>
        <v>1100</v>
      </c>
      <c r="I360" s="11">
        <f t="shared" ca="1" si="72"/>
        <v>0.64653315063109718</v>
      </c>
      <c r="J360" s="11">
        <f t="shared" ca="1" si="73"/>
        <v>10</v>
      </c>
      <c r="K360" s="24">
        <v>96</v>
      </c>
      <c r="L360" s="24">
        <f t="shared" ca="1" si="74"/>
        <v>100</v>
      </c>
      <c r="M360" s="24">
        <v>400</v>
      </c>
      <c r="N360" s="24">
        <v>20</v>
      </c>
      <c r="O360" s="24">
        <f t="shared" ca="1" si="75"/>
        <v>616</v>
      </c>
      <c r="P360" s="24">
        <v>378</v>
      </c>
      <c r="Q360" s="11">
        <f t="shared" ca="1" si="76"/>
        <v>100</v>
      </c>
      <c r="R360" s="24">
        <v>200</v>
      </c>
      <c r="S360" s="24">
        <v>10</v>
      </c>
      <c r="T360" s="24">
        <f t="shared" ca="1" si="77"/>
        <v>688</v>
      </c>
    </row>
    <row r="361" spans="1:20" x14ac:dyDescent="0.45">
      <c r="A361" s="11">
        <v>348</v>
      </c>
      <c r="B361" s="11">
        <f t="shared" ca="1" si="65"/>
        <v>0.60131987402436782</v>
      </c>
      <c r="C361" s="11">
        <f t="shared" ca="1" si="66"/>
        <v>1300</v>
      </c>
      <c r="D361" s="11">
        <f t="shared" ca="1" si="67"/>
        <v>0.43999588601014306</v>
      </c>
      <c r="E361" s="11">
        <f t="shared" ca="1" si="68"/>
        <v>1200</v>
      </c>
      <c r="F361" s="11">
        <f t="shared" ca="1" si="69"/>
        <v>0.50839120452219055</v>
      </c>
      <c r="G361" s="11">
        <f t="shared" ca="1" si="70"/>
        <v>1300</v>
      </c>
      <c r="H361" s="11">
        <f t="shared" ca="1" si="71"/>
        <v>1200</v>
      </c>
      <c r="I361" s="11">
        <f t="shared" ca="1" si="72"/>
        <v>0.21126157794705214</v>
      </c>
      <c r="J361" s="11">
        <f t="shared" ca="1" si="73"/>
        <v>5</v>
      </c>
      <c r="K361" s="24">
        <v>96</v>
      </c>
      <c r="L361" s="24">
        <f t="shared" ca="1" si="74"/>
        <v>50</v>
      </c>
      <c r="M361" s="24">
        <v>400</v>
      </c>
      <c r="N361" s="24">
        <v>20</v>
      </c>
      <c r="O361" s="24">
        <f t="shared" ca="1" si="75"/>
        <v>566</v>
      </c>
      <c r="P361" s="24">
        <v>379</v>
      </c>
      <c r="Q361" s="11">
        <f t="shared" ca="1" si="76"/>
        <v>50</v>
      </c>
      <c r="R361" s="24">
        <v>200</v>
      </c>
      <c r="S361" s="24">
        <v>10</v>
      </c>
      <c r="T361" s="24">
        <f t="shared" ca="1" si="77"/>
        <v>639</v>
      </c>
    </row>
    <row r="362" spans="1:20" x14ac:dyDescent="0.45">
      <c r="A362" s="11">
        <v>349</v>
      </c>
      <c r="B362" s="11">
        <f t="shared" ca="1" si="65"/>
        <v>0.79020414161779784</v>
      </c>
      <c r="C362" s="11">
        <f t="shared" ca="1" si="66"/>
        <v>1500</v>
      </c>
      <c r="D362" s="11">
        <f t="shared" ca="1" si="67"/>
        <v>0.50663127116074524</v>
      </c>
      <c r="E362" s="11">
        <f t="shared" ca="1" si="68"/>
        <v>1300</v>
      </c>
      <c r="F362" s="11">
        <f t="shared" ca="1" si="69"/>
        <v>0.83703331436861494</v>
      </c>
      <c r="G362" s="11">
        <f t="shared" ca="1" si="70"/>
        <v>1600</v>
      </c>
      <c r="H362" s="11">
        <f t="shared" ca="1" si="71"/>
        <v>1300</v>
      </c>
      <c r="I362" s="11">
        <f t="shared" ca="1" si="72"/>
        <v>0.54965810608248145</v>
      </c>
      <c r="J362" s="11">
        <f t="shared" ca="1" si="73"/>
        <v>5</v>
      </c>
      <c r="K362" s="24">
        <v>96</v>
      </c>
      <c r="L362" s="24">
        <f t="shared" ca="1" si="74"/>
        <v>50</v>
      </c>
      <c r="M362" s="24">
        <v>400</v>
      </c>
      <c r="N362" s="24">
        <v>20</v>
      </c>
      <c r="O362" s="24">
        <f t="shared" ca="1" si="75"/>
        <v>566</v>
      </c>
      <c r="P362" s="24">
        <v>380</v>
      </c>
      <c r="Q362" s="11">
        <f t="shared" ca="1" si="76"/>
        <v>50</v>
      </c>
      <c r="R362" s="24">
        <v>200</v>
      </c>
      <c r="S362" s="24">
        <v>10</v>
      </c>
      <c r="T362" s="24">
        <f t="shared" ca="1" si="77"/>
        <v>640</v>
      </c>
    </row>
    <row r="363" spans="1:20" x14ac:dyDescent="0.45">
      <c r="A363" s="11">
        <v>350</v>
      </c>
      <c r="B363" s="11">
        <f t="shared" ca="1" si="65"/>
        <v>0.82842234308609952</v>
      </c>
      <c r="C363" s="11">
        <f t="shared" ca="1" si="66"/>
        <v>1600</v>
      </c>
      <c r="D363" s="11">
        <f t="shared" ca="1" si="67"/>
        <v>0.9905926177501817</v>
      </c>
      <c r="E363" s="11">
        <f t="shared" ca="1" si="68"/>
        <v>1900</v>
      </c>
      <c r="F363" s="11">
        <f t="shared" ca="1" si="69"/>
        <v>0.71268888613232551</v>
      </c>
      <c r="G363" s="11">
        <f t="shared" ca="1" si="70"/>
        <v>1500</v>
      </c>
      <c r="H363" s="11">
        <f t="shared" ca="1" si="71"/>
        <v>1500</v>
      </c>
      <c r="I363" s="11">
        <f t="shared" ca="1" si="72"/>
        <v>0.22477886847015482</v>
      </c>
      <c r="J363" s="11">
        <f t="shared" ca="1" si="73"/>
        <v>5</v>
      </c>
      <c r="K363" s="24">
        <v>96</v>
      </c>
      <c r="L363" s="24">
        <f t="shared" ca="1" si="74"/>
        <v>50</v>
      </c>
      <c r="M363" s="24">
        <v>400</v>
      </c>
      <c r="N363" s="24">
        <v>20</v>
      </c>
      <c r="O363" s="24">
        <f t="shared" ca="1" si="75"/>
        <v>566</v>
      </c>
      <c r="P363" s="24">
        <v>381</v>
      </c>
      <c r="Q363" s="11">
        <f t="shared" ca="1" si="76"/>
        <v>50</v>
      </c>
      <c r="R363" s="24">
        <v>200</v>
      </c>
      <c r="S363" s="24">
        <v>10</v>
      </c>
      <c r="T363" s="24">
        <f t="shared" ca="1" si="77"/>
        <v>641</v>
      </c>
    </row>
    <row r="364" spans="1:20" x14ac:dyDescent="0.45">
      <c r="A364" s="11">
        <v>351</v>
      </c>
      <c r="B364" s="11">
        <f t="shared" ca="1" si="65"/>
        <v>0.1706182013785108</v>
      </c>
      <c r="C364" s="11">
        <f t="shared" ca="1" si="66"/>
        <v>1100</v>
      </c>
      <c r="D364" s="11">
        <f t="shared" ca="1" si="67"/>
        <v>0.68743866620062766</v>
      </c>
      <c r="E364" s="11">
        <f t="shared" ca="1" si="68"/>
        <v>1400</v>
      </c>
      <c r="F364" s="11">
        <f t="shared" ca="1" si="69"/>
        <v>9.425038153748666E-2</v>
      </c>
      <c r="G364" s="11">
        <f t="shared" ca="1" si="70"/>
        <v>1000</v>
      </c>
      <c r="H364" s="11">
        <f t="shared" ca="1" si="71"/>
        <v>1000</v>
      </c>
      <c r="I364" s="11">
        <f t="shared" ca="1" si="72"/>
        <v>0.77507543390378519</v>
      </c>
      <c r="J364" s="11">
        <f t="shared" ca="1" si="73"/>
        <v>10</v>
      </c>
      <c r="K364" s="24">
        <v>96</v>
      </c>
      <c r="L364" s="24">
        <f t="shared" ca="1" si="74"/>
        <v>100</v>
      </c>
      <c r="M364" s="24">
        <v>400</v>
      </c>
      <c r="N364" s="24">
        <v>20</v>
      </c>
      <c r="O364" s="24">
        <f t="shared" ca="1" si="75"/>
        <v>616</v>
      </c>
      <c r="P364" s="24">
        <v>382</v>
      </c>
      <c r="Q364" s="11">
        <f t="shared" ca="1" si="76"/>
        <v>100</v>
      </c>
      <c r="R364" s="24">
        <v>200</v>
      </c>
      <c r="S364" s="24">
        <v>10</v>
      </c>
      <c r="T364" s="24">
        <f t="shared" ca="1" si="77"/>
        <v>692</v>
      </c>
    </row>
    <row r="365" spans="1:20" x14ac:dyDescent="0.45">
      <c r="A365" s="11">
        <v>352</v>
      </c>
      <c r="B365" s="11">
        <f t="shared" ca="1" si="65"/>
        <v>0.57012931351581908</v>
      </c>
      <c r="C365" s="11">
        <f t="shared" ca="1" si="66"/>
        <v>1300</v>
      </c>
      <c r="D365" s="11">
        <f t="shared" ca="1" si="67"/>
        <v>0.46092537965285485</v>
      </c>
      <c r="E365" s="11">
        <f t="shared" ca="1" si="68"/>
        <v>1200</v>
      </c>
      <c r="F365" s="11">
        <f t="shared" ca="1" si="69"/>
        <v>0.37946326563740462</v>
      </c>
      <c r="G365" s="11">
        <f t="shared" ca="1" si="70"/>
        <v>1200</v>
      </c>
      <c r="H365" s="11">
        <f t="shared" ca="1" si="71"/>
        <v>1200</v>
      </c>
      <c r="I365" s="11">
        <f t="shared" ca="1" si="72"/>
        <v>0.96338297305574871</v>
      </c>
      <c r="J365" s="11">
        <f t="shared" ca="1" si="73"/>
        <v>15</v>
      </c>
      <c r="K365" s="24">
        <v>96</v>
      </c>
      <c r="L365" s="24">
        <f t="shared" ca="1" si="74"/>
        <v>150</v>
      </c>
      <c r="M365" s="24">
        <v>400</v>
      </c>
      <c r="N365" s="24">
        <v>20</v>
      </c>
      <c r="O365" s="24">
        <f t="shared" ca="1" si="75"/>
        <v>666</v>
      </c>
      <c r="P365" s="24">
        <v>383</v>
      </c>
      <c r="Q365" s="11">
        <f t="shared" ca="1" si="76"/>
        <v>150</v>
      </c>
      <c r="R365" s="24">
        <v>200</v>
      </c>
      <c r="S365" s="24">
        <v>10</v>
      </c>
      <c r="T365" s="24">
        <f t="shared" ca="1" si="77"/>
        <v>743</v>
      </c>
    </row>
    <row r="366" spans="1:20" x14ac:dyDescent="0.45">
      <c r="A366" s="11">
        <v>353</v>
      </c>
      <c r="B366" s="11">
        <f t="shared" ca="1" si="65"/>
        <v>0.33808668944294273</v>
      </c>
      <c r="C366" s="11">
        <f t="shared" ca="1" si="66"/>
        <v>1200</v>
      </c>
      <c r="D366" s="11">
        <f t="shared" ca="1" si="67"/>
        <v>0.4715279131266763</v>
      </c>
      <c r="E366" s="11">
        <f t="shared" ca="1" si="68"/>
        <v>1200</v>
      </c>
      <c r="F366" s="11">
        <f t="shared" ca="1" si="69"/>
        <v>0.36994570768471324</v>
      </c>
      <c r="G366" s="11">
        <f t="shared" ca="1" si="70"/>
        <v>1200</v>
      </c>
      <c r="H366" s="11">
        <f t="shared" ca="1" si="71"/>
        <v>1200</v>
      </c>
      <c r="I366" s="11">
        <f t="shared" ca="1" si="72"/>
        <v>0.42098281660948222</v>
      </c>
      <c r="J366" s="11">
        <f t="shared" ca="1" si="73"/>
        <v>5</v>
      </c>
      <c r="K366" s="24">
        <v>96</v>
      </c>
      <c r="L366" s="24">
        <f t="shared" ca="1" si="74"/>
        <v>50</v>
      </c>
      <c r="M366" s="24">
        <v>400</v>
      </c>
      <c r="N366" s="24">
        <v>20</v>
      </c>
      <c r="O366" s="24">
        <f t="shared" ca="1" si="75"/>
        <v>566</v>
      </c>
      <c r="P366" s="24">
        <v>384</v>
      </c>
      <c r="Q366" s="11">
        <f t="shared" ca="1" si="76"/>
        <v>50</v>
      </c>
      <c r="R366" s="24">
        <v>200</v>
      </c>
      <c r="S366" s="24">
        <v>10</v>
      </c>
      <c r="T366" s="24">
        <f t="shared" ca="1" si="77"/>
        <v>644</v>
      </c>
    </row>
    <row r="367" spans="1:20" x14ac:dyDescent="0.45">
      <c r="A367" s="11">
        <v>354</v>
      </c>
      <c r="B367" s="11">
        <f t="shared" ca="1" si="65"/>
        <v>0.42118564998372887</v>
      </c>
      <c r="C367" s="11">
        <f t="shared" ca="1" si="66"/>
        <v>1200</v>
      </c>
      <c r="D367" s="11">
        <f t="shared" ca="1" si="67"/>
        <v>0.26899507524951527</v>
      </c>
      <c r="E367" s="11">
        <f t="shared" ca="1" si="68"/>
        <v>1200</v>
      </c>
      <c r="F367" s="11">
        <f t="shared" ca="1" si="69"/>
        <v>3.4942716116534989E-2</v>
      </c>
      <c r="G367" s="11">
        <f t="shared" ca="1" si="70"/>
        <v>1000</v>
      </c>
      <c r="H367" s="11">
        <f t="shared" ca="1" si="71"/>
        <v>1000</v>
      </c>
      <c r="I367" s="11">
        <f t="shared" ca="1" si="72"/>
        <v>0.83374866710210016</v>
      </c>
      <c r="J367" s="11">
        <f t="shared" ca="1" si="73"/>
        <v>10</v>
      </c>
      <c r="K367" s="24">
        <v>96</v>
      </c>
      <c r="L367" s="24">
        <f t="shared" ca="1" si="74"/>
        <v>100</v>
      </c>
      <c r="M367" s="24">
        <v>400</v>
      </c>
      <c r="N367" s="24">
        <v>20</v>
      </c>
      <c r="O367" s="24">
        <f t="shared" ca="1" si="75"/>
        <v>616</v>
      </c>
      <c r="P367" s="24">
        <v>385</v>
      </c>
      <c r="Q367" s="11">
        <f t="shared" ca="1" si="76"/>
        <v>100</v>
      </c>
      <c r="R367" s="24">
        <v>200</v>
      </c>
      <c r="S367" s="24">
        <v>10</v>
      </c>
      <c r="T367" s="24">
        <f t="shared" ca="1" si="77"/>
        <v>695</v>
      </c>
    </row>
    <row r="368" spans="1:20" x14ac:dyDescent="0.45">
      <c r="A368" s="11">
        <v>355</v>
      </c>
      <c r="B368" s="11">
        <f t="shared" ca="1" si="65"/>
        <v>0.73294385712989407</v>
      </c>
      <c r="C368" s="11">
        <f t="shared" ca="1" si="66"/>
        <v>1500</v>
      </c>
      <c r="D368" s="11">
        <f t="shared" ca="1" si="67"/>
        <v>0.541568687816818</v>
      </c>
      <c r="E368" s="11">
        <f t="shared" ca="1" si="68"/>
        <v>1300</v>
      </c>
      <c r="F368" s="11">
        <f t="shared" ca="1" si="69"/>
        <v>0.88643361291018452</v>
      </c>
      <c r="G368" s="11">
        <f t="shared" ca="1" si="70"/>
        <v>1700</v>
      </c>
      <c r="H368" s="11">
        <f t="shared" ca="1" si="71"/>
        <v>1300</v>
      </c>
      <c r="I368" s="11">
        <f t="shared" ca="1" si="72"/>
        <v>0.36251078971424699</v>
      </c>
      <c r="J368" s="11">
        <f t="shared" ca="1" si="73"/>
        <v>5</v>
      </c>
      <c r="K368" s="24">
        <v>96</v>
      </c>
      <c r="L368" s="24">
        <f t="shared" ca="1" si="74"/>
        <v>50</v>
      </c>
      <c r="M368" s="24">
        <v>400</v>
      </c>
      <c r="N368" s="24">
        <v>20</v>
      </c>
      <c r="O368" s="24">
        <f t="shared" ca="1" si="75"/>
        <v>566</v>
      </c>
      <c r="P368" s="24">
        <v>386</v>
      </c>
      <c r="Q368" s="11">
        <f t="shared" ca="1" si="76"/>
        <v>50</v>
      </c>
      <c r="R368" s="24">
        <v>200</v>
      </c>
      <c r="S368" s="24">
        <v>10</v>
      </c>
      <c r="T368" s="24">
        <f t="shared" ca="1" si="77"/>
        <v>646</v>
      </c>
    </row>
    <row r="369" spans="1:20" x14ac:dyDescent="0.45">
      <c r="A369" s="11">
        <v>356</v>
      </c>
      <c r="B369" s="11">
        <f t="shared" ca="1" si="65"/>
        <v>0.80611299101696532</v>
      </c>
      <c r="C369" s="11">
        <f t="shared" ca="1" si="66"/>
        <v>1500</v>
      </c>
      <c r="D369" s="11">
        <f t="shared" ca="1" si="67"/>
        <v>0.40021296192711608</v>
      </c>
      <c r="E369" s="11">
        <f t="shared" ca="1" si="68"/>
        <v>1200</v>
      </c>
      <c r="F369" s="11">
        <f t="shared" ca="1" si="69"/>
        <v>0.94095232345008417</v>
      </c>
      <c r="G369" s="11">
        <f t="shared" ca="1" si="70"/>
        <v>1800</v>
      </c>
      <c r="H369" s="11">
        <f t="shared" ca="1" si="71"/>
        <v>1200</v>
      </c>
      <c r="I369" s="11">
        <f t="shared" ca="1" si="72"/>
        <v>0.39575747047241361</v>
      </c>
      <c r="J369" s="11">
        <f t="shared" ca="1" si="73"/>
        <v>5</v>
      </c>
      <c r="K369" s="24">
        <v>96</v>
      </c>
      <c r="L369" s="24">
        <f t="shared" ca="1" si="74"/>
        <v>50</v>
      </c>
      <c r="M369" s="24">
        <v>400</v>
      </c>
      <c r="N369" s="24">
        <v>20</v>
      </c>
      <c r="O369" s="24">
        <f t="shared" ca="1" si="75"/>
        <v>566</v>
      </c>
      <c r="P369" s="24">
        <v>387</v>
      </c>
      <c r="Q369" s="11">
        <f t="shared" ca="1" si="76"/>
        <v>50</v>
      </c>
      <c r="R369" s="24">
        <v>200</v>
      </c>
      <c r="S369" s="24">
        <v>10</v>
      </c>
      <c r="T369" s="24">
        <f t="shared" ca="1" si="77"/>
        <v>647</v>
      </c>
    </row>
    <row r="370" spans="1:20" x14ac:dyDescent="0.45">
      <c r="A370" s="11">
        <v>357</v>
      </c>
      <c r="B370" s="11">
        <f t="shared" ca="1" si="65"/>
        <v>0.29293170298429272</v>
      </c>
      <c r="C370" s="11">
        <f t="shared" ca="1" si="66"/>
        <v>1200</v>
      </c>
      <c r="D370" s="11">
        <f t="shared" ca="1" si="67"/>
        <v>0.83347564810563923</v>
      </c>
      <c r="E370" s="11">
        <f t="shared" ca="1" si="68"/>
        <v>1600</v>
      </c>
      <c r="F370" s="11">
        <f t="shared" ca="1" si="69"/>
        <v>0.9750173216069743</v>
      </c>
      <c r="G370" s="11">
        <f t="shared" ca="1" si="70"/>
        <v>1900</v>
      </c>
      <c r="H370" s="11">
        <f t="shared" ca="1" si="71"/>
        <v>1200</v>
      </c>
      <c r="I370" s="11">
        <f t="shared" ca="1" si="72"/>
        <v>0.62229624300414121</v>
      </c>
      <c r="J370" s="11">
        <f t="shared" ca="1" si="73"/>
        <v>10</v>
      </c>
      <c r="K370" s="24">
        <v>96</v>
      </c>
      <c r="L370" s="24">
        <f t="shared" ca="1" si="74"/>
        <v>100</v>
      </c>
      <c r="M370" s="24">
        <v>400</v>
      </c>
      <c r="N370" s="24">
        <v>20</v>
      </c>
      <c r="O370" s="24">
        <f t="shared" ca="1" si="75"/>
        <v>616</v>
      </c>
      <c r="P370" s="24">
        <v>388</v>
      </c>
      <c r="Q370" s="11">
        <f t="shared" ca="1" si="76"/>
        <v>100</v>
      </c>
      <c r="R370" s="24">
        <v>200</v>
      </c>
      <c r="S370" s="24">
        <v>10</v>
      </c>
      <c r="T370" s="24">
        <f t="shared" ca="1" si="77"/>
        <v>698</v>
      </c>
    </row>
    <row r="371" spans="1:20" x14ac:dyDescent="0.45">
      <c r="A371" s="11">
        <v>358</v>
      </c>
      <c r="B371" s="11">
        <f t="shared" ca="1" si="65"/>
        <v>0.49893135593234228</v>
      </c>
      <c r="C371" s="11">
        <f t="shared" ca="1" si="66"/>
        <v>1300</v>
      </c>
      <c r="D371" s="11">
        <f t="shared" ca="1" si="67"/>
        <v>0.63399799870034113</v>
      </c>
      <c r="E371" s="11">
        <f t="shared" ca="1" si="68"/>
        <v>1400</v>
      </c>
      <c r="F371" s="11">
        <f t="shared" ca="1" si="69"/>
        <v>0.58498207124073898</v>
      </c>
      <c r="G371" s="11">
        <f t="shared" ca="1" si="70"/>
        <v>1300</v>
      </c>
      <c r="H371" s="11">
        <f t="shared" ca="1" si="71"/>
        <v>1300</v>
      </c>
      <c r="I371" s="11">
        <f t="shared" ca="1" si="72"/>
        <v>0.82308411939318271</v>
      </c>
      <c r="J371" s="11">
        <f t="shared" ca="1" si="73"/>
        <v>10</v>
      </c>
      <c r="K371" s="24">
        <v>96</v>
      </c>
      <c r="L371" s="24">
        <f t="shared" ca="1" si="74"/>
        <v>100</v>
      </c>
      <c r="M371" s="24">
        <v>400</v>
      </c>
      <c r="N371" s="24">
        <v>20</v>
      </c>
      <c r="O371" s="24">
        <f t="shared" ca="1" si="75"/>
        <v>616</v>
      </c>
      <c r="P371" s="24">
        <v>389</v>
      </c>
      <c r="Q371" s="11">
        <f t="shared" ca="1" si="76"/>
        <v>100</v>
      </c>
      <c r="R371" s="24">
        <v>200</v>
      </c>
      <c r="S371" s="24">
        <v>10</v>
      </c>
      <c r="T371" s="24">
        <f t="shared" ca="1" si="77"/>
        <v>699</v>
      </c>
    </row>
    <row r="372" spans="1:20" x14ac:dyDescent="0.45">
      <c r="A372" s="11">
        <v>359</v>
      </c>
      <c r="B372" s="11">
        <f t="shared" ca="1" si="65"/>
        <v>0.75217268465245535</v>
      </c>
      <c r="C372" s="11">
        <f t="shared" ca="1" si="66"/>
        <v>1500</v>
      </c>
      <c r="D372" s="11">
        <f t="shared" ca="1" si="67"/>
        <v>0.78246147464981874</v>
      </c>
      <c r="E372" s="11">
        <f t="shared" ca="1" si="68"/>
        <v>1500</v>
      </c>
      <c r="F372" s="11">
        <f t="shared" ca="1" si="69"/>
        <v>0.46596168965377782</v>
      </c>
      <c r="G372" s="11">
        <f t="shared" ca="1" si="70"/>
        <v>1200</v>
      </c>
      <c r="H372" s="11">
        <f t="shared" ca="1" si="71"/>
        <v>1200</v>
      </c>
      <c r="I372" s="11">
        <f t="shared" ca="1" si="72"/>
        <v>0.27796202841119011</v>
      </c>
      <c r="J372" s="11">
        <f t="shared" ca="1" si="73"/>
        <v>5</v>
      </c>
      <c r="K372" s="24">
        <v>96</v>
      </c>
      <c r="L372" s="24">
        <f t="shared" ca="1" si="74"/>
        <v>50</v>
      </c>
      <c r="M372" s="24">
        <v>400</v>
      </c>
      <c r="N372" s="24">
        <v>20</v>
      </c>
      <c r="O372" s="24">
        <f t="shared" ca="1" si="75"/>
        <v>566</v>
      </c>
      <c r="P372" s="24">
        <v>390</v>
      </c>
      <c r="Q372" s="11">
        <f t="shared" ca="1" si="76"/>
        <v>50</v>
      </c>
      <c r="R372" s="24">
        <v>200</v>
      </c>
      <c r="S372" s="24">
        <v>10</v>
      </c>
      <c r="T372" s="24">
        <f t="shared" ca="1" si="77"/>
        <v>650</v>
      </c>
    </row>
    <row r="373" spans="1:20" x14ac:dyDescent="0.45">
      <c r="A373" s="11">
        <v>360</v>
      </c>
      <c r="B373" s="11">
        <f t="shared" ca="1" si="65"/>
        <v>0.43143070898298141</v>
      </c>
      <c r="C373" s="11">
        <f t="shared" ca="1" si="66"/>
        <v>1200</v>
      </c>
      <c r="D373" s="11">
        <f t="shared" ca="1" si="67"/>
        <v>1.6787704644872781E-3</v>
      </c>
      <c r="E373" s="11">
        <f t="shared" ca="1" si="68"/>
        <v>1000</v>
      </c>
      <c r="F373" s="11">
        <f t="shared" ca="1" si="69"/>
        <v>0.4922138313387856</v>
      </c>
      <c r="G373" s="11">
        <f t="shared" ca="1" si="70"/>
        <v>1300</v>
      </c>
      <c r="H373" s="11">
        <f t="shared" ca="1" si="71"/>
        <v>1000</v>
      </c>
      <c r="I373" s="11">
        <f t="shared" ca="1" si="72"/>
        <v>0.62880432317989521</v>
      </c>
      <c r="J373" s="11">
        <f t="shared" ca="1" si="73"/>
        <v>10</v>
      </c>
      <c r="K373" s="24">
        <v>96</v>
      </c>
      <c r="L373" s="24">
        <f t="shared" ca="1" si="74"/>
        <v>100</v>
      </c>
      <c r="M373" s="24">
        <v>400</v>
      </c>
      <c r="N373" s="24">
        <v>20</v>
      </c>
      <c r="O373" s="24">
        <f t="shared" ca="1" si="75"/>
        <v>616</v>
      </c>
      <c r="P373" s="24">
        <v>391</v>
      </c>
      <c r="Q373" s="11">
        <f t="shared" ca="1" si="76"/>
        <v>100</v>
      </c>
      <c r="R373" s="24">
        <v>200</v>
      </c>
      <c r="S373" s="24">
        <v>10</v>
      </c>
      <c r="T373" s="24">
        <f t="shared" ca="1" si="77"/>
        <v>701</v>
      </c>
    </row>
    <row r="374" spans="1:20" x14ac:dyDescent="0.45">
      <c r="A374" s="11">
        <v>361</v>
      </c>
      <c r="B374" s="11">
        <f t="shared" ca="1" si="65"/>
        <v>0.85877885306302459</v>
      </c>
      <c r="C374" s="11">
        <f t="shared" ca="1" si="66"/>
        <v>1700</v>
      </c>
      <c r="D374" s="11">
        <f t="shared" ca="1" si="67"/>
        <v>0.82846544792619548</v>
      </c>
      <c r="E374" s="11">
        <f t="shared" ca="1" si="68"/>
        <v>1600</v>
      </c>
      <c r="F374" s="11">
        <f t="shared" ca="1" si="69"/>
        <v>0.58534080666950983</v>
      </c>
      <c r="G374" s="11">
        <f t="shared" ca="1" si="70"/>
        <v>1300</v>
      </c>
      <c r="H374" s="11">
        <f t="shared" ca="1" si="71"/>
        <v>1300</v>
      </c>
      <c r="I374" s="11">
        <f t="shared" ca="1" si="72"/>
        <v>0.44938067588533837</v>
      </c>
      <c r="J374" s="11">
        <f t="shared" ca="1" si="73"/>
        <v>5</v>
      </c>
      <c r="K374" s="24">
        <v>96</v>
      </c>
      <c r="L374" s="24">
        <f t="shared" ca="1" si="74"/>
        <v>50</v>
      </c>
      <c r="M374" s="24">
        <v>400</v>
      </c>
      <c r="N374" s="24">
        <v>20</v>
      </c>
      <c r="O374" s="24">
        <f t="shared" ca="1" si="75"/>
        <v>566</v>
      </c>
      <c r="P374" s="24">
        <v>392</v>
      </c>
      <c r="Q374" s="11">
        <f t="shared" ca="1" si="76"/>
        <v>50</v>
      </c>
      <c r="R374" s="24">
        <v>200</v>
      </c>
      <c r="S374" s="24">
        <v>10</v>
      </c>
      <c r="T374" s="24">
        <f t="shared" ca="1" si="77"/>
        <v>652</v>
      </c>
    </row>
    <row r="375" spans="1:20" x14ac:dyDescent="0.45">
      <c r="A375" s="11">
        <v>362</v>
      </c>
      <c r="B375" s="11">
        <f t="shared" ca="1" si="65"/>
        <v>0.41776133782680713</v>
      </c>
      <c r="C375" s="11">
        <f t="shared" ca="1" si="66"/>
        <v>1200</v>
      </c>
      <c r="D375" s="11">
        <f t="shared" ca="1" si="67"/>
        <v>0.80466994111980206</v>
      </c>
      <c r="E375" s="11">
        <f t="shared" ca="1" si="68"/>
        <v>1500</v>
      </c>
      <c r="F375" s="11">
        <f t="shared" ca="1" si="69"/>
        <v>0.5688764514497735</v>
      </c>
      <c r="G375" s="11">
        <f t="shared" ca="1" si="70"/>
        <v>1300</v>
      </c>
      <c r="H375" s="11">
        <f t="shared" ca="1" si="71"/>
        <v>1200</v>
      </c>
      <c r="I375" s="11">
        <f t="shared" ca="1" si="72"/>
        <v>0.52738105908114596</v>
      </c>
      <c r="J375" s="11">
        <f t="shared" ca="1" si="73"/>
        <v>5</v>
      </c>
      <c r="K375" s="24">
        <v>96</v>
      </c>
      <c r="L375" s="24">
        <f t="shared" ca="1" si="74"/>
        <v>50</v>
      </c>
      <c r="M375" s="24">
        <v>400</v>
      </c>
      <c r="N375" s="24">
        <v>20</v>
      </c>
      <c r="O375" s="24">
        <f t="shared" ca="1" si="75"/>
        <v>566</v>
      </c>
      <c r="P375" s="24">
        <v>393</v>
      </c>
      <c r="Q375" s="11">
        <f t="shared" ca="1" si="76"/>
        <v>50</v>
      </c>
      <c r="R375" s="24">
        <v>200</v>
      </c>
      <c r="S375" s="24">
        <v>10</v>
      </c>
      <c r="T375" s="24">
        <f t="shared" ca="1" si="77"/>
        <v>653</v>
      </c>
    </row>
    <row r="376" spans="1:20" x14ac:dyDescent="0.45">
      <c r="A376" s="11">
        <v>363</v>
      </c>
      <c r="B376" s="11">
        <f t="shared" ca="1" si="65"/>
        <v>0.40866602443319</v>
      </c>
      <c r="C376" s="11">
        <f t="shared" ca="1" si="66"/>
        <v>1200</v>
      </c>
      <c r="D376" s="11">
        <f t="shared" ca="1" si="67"/>
        <v>0.99850644363725927</v>
      </c>
      <c r="E376" s="11">
        <f t="shared" ca="1" si="68"/>
        <v>1900</v>
      </c>
      <c r="F376" s="11">
        <f t="shared" ca="1" si="69"/>
        <v>0.28131602786797572</v>
      </c>
      <c r="G376" s="11">
        <f t="shared" ca="1" si="70"/>
        <v>1200</v>
      </c>
      <c r="H376" s="11">
        <f t="shared" ca="1" si="71"/>
        <v>1200</v>
      </c>
      <c r="I376" s="11">
        <f t="shared" ca="1" si="72"/>
        <v>0.94564593606540515</v>
      </c>
      <c r="J376" s="11">
        <f t="shared" ca="1" si="73"/>
        <v>15</v>
      </c>
      <c r="K376" s="24">
        <v>96</v>
      </c>
      <c r="L376" s="24">
        <f t="shared" ca="1" si="74"/>
        <v>150</v>
      </c>
      <c r="M376" s="24">
        <v>400</v>
      </c>
      <c r="N376" s="24">
        <v>20</v>
      </c>
      <c r="O376" s="24">
        <f t="shared" ca="1" si="75"/>
        <v>666</v>
      </c>
      <c r="P376" s="24">
        <v>394</v>
      </c>
      <c r="Q376" s="11">
        <f t="shared" ca="1" si="76"/>
        <v>150</v>
      </c>
      <c r="R376" s="24">
        <v>200</v>
      </c>
      <c r="S376" s="24">
        <v>10</v>
      </c>
      <c r="T376" s="24">
        <f t="shared" ca="1" si="77"/>
        <v>754</v>
      </c>
    </row>
    <row r="377" spans="1:20" x14ac:dyDescent="0.45">
      <c r="A377" s="11">
        <v>364</v>
      </c>
      <c r="B377" s="11">
        <f t="shared" ca="1" si="65"/>
        <v>0.85994364362230835</v>
      </c>
      <c r="C377" s="11">
        <f t="shared" ca="1" si="66"/>
        <v>1700</v>
      </c>
      <c r="D377" s="11">
        <f t="shared" ca="1" si="67"/>
        <v>0.21986302330850738</v>
      </c>
      <c r="E377" s="11">
        <f t="shared" ca="1" si="68"/>
        <v>1100</v>
      </c>
      <c r="F377" s="11">
        <f t="shared" ca="1" si="69"/>
        <v>0.11308298179177056</v>
      </c>
      <c r="G377" s="11">
        <f t="shared" ca="1" si="70"/>
        <v>1100</v>
      </c>
      <c r="H377" s="11">
        <f t="shared" ca="1" si="71"/>
        <v>1100</v>
      </c>
      <c r="I377" s="11">
        <f t="shared" ca="1" si="72"/>
        <v>0.2789689434618503</v>
      </c>
      <c r="J377" s="11">
        <f t="shared" ca="1" si="73"/>
        <v>5</v>
      </c>
      <c r="K377" s="24">
        <v>96</v>
      </c>
      <c r="L377" s="24">
        <f t="shared" ca="1" si="74"/>
        <v>50</v>
      </c>
      <c r="M377" s="24">
        <v>400</v>
      </c>
      <c r="N377" s="24">
        <v>20</v>
      </c>
      <c r="O377" s="24">
        <f t="shared" ca="1" si="75"/>
        <v>566</v>
      </c>
      <c r="P377" s="24">
        <v>395</v>
      </c>
      <c r="Q377" s="11">
        <f t="shared" ca="1" si="76"/>
        <v>50</v>
      </c>
      <c r="R377" s="24">
        <v>200</v>
      </c>
      <c r="S377" s="24">
        <v>10</v>
      </c>
      <c r="T377" s="24">
        <f t="shared" ca="1" si="77"/>
        <v>655</v>
      </c>
    </row>
    <row r="378" spans="1:20" x14ac:dyDescent="0.45">
      <c r="A378" s="11">
        <v>365</v>
      </c>
      <c r="B378" s="11">
        <f t="shared" ca="1" si="65"/>
        <v>0.38036417584614635</v>
      </c>
      <c r="C378" s="11">
        <f t="shared" ca="1" si="66"/>
        <v>1200</v>
      </c>
      <c r="D378" s="11">
        <f t="shared" ca="1" si="67"/>
        <v>0.8688039725612281</v>
      </c>
      <c r="E378" s="11">
        <f t="shared" ca="1" si="68"/>
        <v>1700</v>
      </c>
      <c r="F378" s="11">
        <f t="shared" ca="1" si="69"/>
        <v>0.67022160355466465</v>
      </c>
      <c r="G378" s="11">
        <f t="shared" ca="1" si="70"/>
        <v>1400</v>
      </c>
      <c r="H378" s="11">
        <f t="shared" ca="1" si="71"/>
        <v>1200</v>
      </c>
      <c r="I378" s="11">
        <f t="shared" ca="1" si="72"/>
        <v>0.71828796415678842</v>
      </c>
      <c r="J378" s="11">
        <f t="shared" ca="1" si="73"/>
        <v>10</v>
      </c>
      <c r="K378" s="24">
        <v>96</v>
      </c>
      <c r="L378" s="24">
        <f t="shared" ca="1" si="74"/>
        <v>100</v>
      </c>
      <c r="M378" s="24">
        <v>400</v>
      </c>
      <c r="N378" s="24">
        <v>20</v>
      </c>
      <c r="O378" s="24">
        <f t="shared" ca="1" si="75"/>
        <v>616</v>
      </c>
      <c r="P378" s="24">
        <v>396</v>
      </c>
      <c r="Q378" s="11">
        <f t="shared" ca="1" si="76"/>
        <v>100</v>
      </c>
      <c r="R378" s="24">
        <v>200</v>
      </c>
      <c r="S378" s="24">
        <v>10</v>
      </c>
      <c r="T378" s="24">
        <f t="shared" ca="1" si="77"/>
        <v>706</v>
      </c>
    </row>
    <row r="379" spans="1:20" x14ac:dyDescent="0.45">
      <c r="A379" s="11">
        <v>366</v>
      </c>
      <c r="B379" s="11">
        <f t="shared" ca="1" si="65"/>
        <v>0.80478753169951933</v>
      </c>
      <c r="C379" s="11">
        <f t="shared" ca="1" si="66"/>
        <v>1500</v>
      </c>
      <c r="D379" s="11">
        <f t="shared" ca="1" si="67"/>
        <v>0.36171645124874929</v>
      </c>
      <c r="E379" s="11">
        <f t="shared" ca="1" si="68"/>
        <v>1200</v>
      </c>
      <c r="F379" s="11">
        <f t="shared" ca="1" si="69"/>
        <v>0.20652842060733034</v>
      </c>
      <c r="G379" s="11">
        <f t="shared" ca="1" si="70"/>
        <v>1100</v>
      </c>
      <c r="H379" s="11">
        <f t="shared" ca="1" si="71"/>
        <v>1100</v>
      </c>
      <c r="I379" s="11">
        <f t="shared" ca="1" si="72"/>
        <v>0.15623117038286527</v>
      </c>
      <c r="J379" s="11">
        <f t="shared" ca="1" si="73"/>
        <v>5</v>
      </c>
      <c r="K379" s="24">
        <v>96</v>
      </c>
      <c r="L379" s="24">
        <f t="shared" ca="1" si="74"/>
        <v>50</v>
      </c>
      <c r="M379" s="24">
        <v>400</v>
      </c>
      <c r="N379" s="24">
        <v>20</v>
      </c>
      <c r="O379" s="24">
        <f t="shared" ca="1" si="75"/>
        <v>566</v>
      </c>
      <c r="P379" s="24">
        <v>397</v>
      </c>
      <c r="Q379" s="11">
        <f t="shared" ca="1" si="76"/>
        <v>50</v>
      </c>
      <c r="R379" s="24">
        <v>200</v>
      </c>
      <c r="S379" s="24">
        <v>10</v>
      </c>
      <c r="T379" s="24">
        <f t="shared" ca="1" si="77"/>
        <v>657</v>
      </c>
    </row>
    <row r="380" spans="1:20" x14ac:dyDescent="0.45">
      <c r="A380" s="11">
        <v>367</v>
      </c>
      <c r="B380" s="11">
        <f t="shared" ca="1" si="65"/>
        <v>6.2366906735065064E-2</v>
      </c>
      <c r="C380" s="11">
        <f t="shared" ca="1" si="66"/>
        <v>1000</v>
      </c>
      <c r="D380" s="11">
        <f t="shared" ca="1" si="67"/>
        <v>0.10796805846757163</v>
      </c>
      <c r="E380" s="11">
        <f t="shared" ca="1" si="68"/>
        <v>1100</v>
      </c>
      <c r="F380" s="11">
        <f t="shared" ca="1" si="69"/>
        <v>0.30911777931272222</v>
      </c>
      <c r="G380" s="11">
        <f t="shared" ca="1" si="70"/>
        <v>1200</v>
      </c>
      <c r="H380" s="11">
        <f t="shared" ca="1" si="71"/>
        <v>1000</v>
      </c>
      <c r="I380" s="11">
        <f t="shared" ca="1" si="72"/>
        <v>0.87972310828333022</v>
      </c>
      <c r="J380" s="11">
        <f t="shared" ca="1" si="73"/>
        <v>10</v>
      </c>
      <c r="K380" s="24">
        <v>96</v>
      </c>
      <c r="L380" s="24">
        <f t="shared" ca="1" si="74"/>
        <v>100</v>
      </c>
      <c r="M380" s="24">
        <v>400</v>
      </c>
      <c r="N380" s="24">
        <v>20</v>
      </c>
      <c r="O380" s="24">
        <f t="shared" ca="1" si="75"/>
        <v>616</v>
      </c>
      <c r="P380" s="24">
        <v>398</v>
      </c>
      <c r="Q380" s="11">
        <f t="shared" ca="1" si="76"/>
        <v>100</v>
      </c>
      <c r="R380" s="24">
        <v>200</v>
      </c>
      <c r="S380" s="24">
        <v>10</v>
      </c>
      <c r="T380" s="24">
        <f t="shared" ca="1" si="77"/>
        <v>708</v>
      </c>
    </row>
    <row r="381" spans="1:20" x14ac:dyDescent="0.45">
      <c r="A381" s="11">
        <v>368</v>
      </c>
      <c r="B381" s="11">
        <f t="shared" ca="1" si="65"/>
        <v>0.64658802055194364</v>
      </c>
      <c r="C381" s="11">
        <f t="shared" ca="1" si="66"/>
        <v>1400</v>
      </c>
      <c r="D381" s="11">
        <f t="shared" ca="1" si="67"/>
        <v>0.41110469126400384</v>
      </c>
      <c r="E381" s="11">
        <f t="shared" ca="1" si="68"/>
        <v>1200</v>
      </c>
      <c r="F381" s="11">
        <f t="shared" ca="1" si="69"/>
        <v>0.17490814998226001</v>
      </c>
      <c r="G381" s="11">
        <f t="shared" ca="1" si="70"/>
        <v>1100</v>
      </c>
      <c r="H381" s="11">
        <f t="shared" ca="1" si="71"/>
        <v>1100</v>
      </c>
      <c r="I381" s="11">
        <f t="shared" ca="1" si="72"/>
        <v>0.6666020889202281</v>
      </c>
      <c r="J381" s="11">
        <f t="shared" ca="1" si="73"/>
        <v>10</v>
      </c>
      <c r="K381" s="24">
        <v>96</v>
      </c>
      <c r="L381" s="24">
        <f t="shared" ca="1" si="74"/>
        <v>100</v>
      </c>
      <c r="M381" s="24">
        <v>400</v>
      </c>
      <c r="N381" s="24">
        <v>20</v>
      </c>
      <c r="O381" s="24">
        <f t="shared" ca="1" si="75"/>
        <v>616</v>
      </c>
      <c r="P381" s="24">
        <v>399</v>
      </c>
      <c r="Q381" s="11">
        <f t="shared" ca="1" si="76"/>
        <v>100</v>
      </c>
      <c r="R381" s="24">
        <v>200</v>
      </c>
      <c r="S381" s="24">
        <v>10</v>
      </c>
      <c r="T381" s="24">
        <f t="shared" ca="1" si="77"/>
        <v>709</v>
      </c>
    </row>
    <row r="382" spans="1:20" x14ac:dyDescent="0.45">
      <c r="A382" s="11">
        <v>369</v>
      </c>
      <c r="B382" s="11">
        <f t="shared" ca="1" si="65"/>
        <v>4.0180314486844004E-2</v>
      </c>
      <c r="C382" s="11">
        <f t="shared" ca="1" si="66"/>
        <v>1000</v>
      </c>
      <c r="D382" s="11">
        <f t="shared" ca="1" si="67"/>
        <v>0.15941353561908922</v>
      </c>
      <c r="E382" s="11">
        <f t="shared" ca="1" si="68"/>
        <v>1100</v>
      </c>
      <c r="F382" s="11">
        <f t="shared" ca="1" si="69"/>
        <v>0.6212721233394215</v>
      </c>
      <c r="G382" s="11">
        <f t="shared" ca="1" si="70"/>
        <v>1400</v>
      </c>
      <c r="H382" s="11">
        <f t="shared" ca="1" si="71"/>
        <v>1000</v>
      </c>
      <c r="I382" s="11">
        <f t="shared" ca="1" si="72"/>
        <v>0.67549792304581036</v>
      </c>
      <c r="J382" s="11">
        <f t="shared" ca="1" si="73"/>
        <v>10</v>
      </c>
      <c r="K382" s="24">
        <v>96</v>
      </c>
      <c r="L382" s="24">
        <f t="shared" ca="1" si="74"/>
        <v>100</v>
      </c>
      <c r="M382" s="24">
        <v>400</v>
      </c>
      <c r="N382" s="24">
        <v>20</v>
      </c>
      <c r="O382" s="24">
        <f t="shared" ca="1" si="75"/>
        <v>616</v>
      </c>
      <c r="P382" s="24">
        <v>400</v>
      </c>
      <c r="Q382" s="11">
        <f t="shared" ca="1" si="76"/>
        <v>100</v>
      </c>
      <c r="R382" s="24">
        <v>200</v>
      </c>
      <c r="S382" s="24">
        <v>10</v>
      </c>
      <c r="T382" s="24">
        <f t="shared" ca="1" si="77"/>
        <v>710</v>
      </c>
    </row>
    <row r="383" spans="1:20" x14ac:dyDescent="0.45">
      <c r="A383" s="11">
        <v>370</v>
      </c>
      <c r="B383" s="11">
        <f t="shared" ca="1" si="65"/>
        <v>0.2616799569494157</v>
      </c>
      <c r="C383" s="11">
        <f t="shared" ca="1" si="66"/>
        <v>1200</v>
      </c>
      <c r="D383" s="11">
        <f t="shared" ca="1" si="67"/>
        <v>0.4124401510969683</v>
      </c>
      <c r="E383" s="11">
        <f t="shared" ca="1" si="68"/>
        <v>1200</v>
      </c>
      <c r="F383" s="11">
        <f t="shared" ca="1" si="69"/>
        <v>0.78675968943974151</v>
      </c>
      <c r="G383" s="11">
        <f t="shared" ca="1" si="70"/>
        <v>1500</v>
      </c>
      <c r="H383" s="11">
        <f t="shared" ca="1" si="71"/>
        <v>1200</v>
      </c>
      <c r="I383" s="11">
        <f t="shared" ca="1" si="72"/>
        <v>0.91947171978221209</v>
      </c>
      <c r="J383" s="11">
        <f t="shared" ca="1" si="73"/>
        <v>15</v>
      </c>
      <c r="K383" s="24">
        <v>96</v>
      </c>
      <c r="L383" s="24">
        <f t="shared" ca="1" si="74"/>
        <v>150</v>
      </c>
      <c r="M383" s="24">
        <v>400</v>
      </c>
      <c r="N383" s="24">
        <v>20</v>
      </c>
      <c r="O383" s="24">
        <f t="shared" ca="1" si="75"/>
        <v>666</v>
      </c>
      <c r="P383" s="24">
        <v>401</v>
      </c>
      <c r="Q383" s="11">
        <f t="shared" ca="1" si="76"/>
        <v>150</v>
      </c>
      <c r="R383" s="24">
        <v>200</v>
      </c>
      <c r="S383" s="24">
        <v>10</v>
      </c>
      <c r="T383" s="24">
        <f t="shared" ca="1" si="77"/>
        <v>761</v>
      </c>
    </row>
    <row r="384" spans="1:20" x14ac:dyDescent="0.45">
      <c r="A384" s="11">
        <v>371</v>
      </c>
      <c r="B384" s="11">
        <f t="shared" ca="1" si="65"/>
        <v>4.0641402293161266E-2</v>
      </c>
      <c r="C384" s="11">
        <f t="shared" ca="1" si="66"/>
        <v>1000</v>
      </c>
      <c r="D384" s="11">
        <f t="shared" ca="1" si="67"/>
        <v>0.36307800680910263</v>
      </c>
      <c r="E384" s="11">
        <f t="shared" ca="1" si="68"/>
        <v>1200</v>
      </c>
      <c r="F384" s="11">
        <f t="shared" ca="1" si="69"/>
        <v>0.44134599266823915</v>
      </c>
      <c r="G384" s="11">
        <f t="shared" ca="1" si="70"/>
        <v>1200</v>
      </c>
      <c r="H384" s="11">
        <f t="shared" ca="1" si="71"/>
        <v>1000</v>
      </c>
      <c r="I384" s="11">
        <f t="shared" ca="1" si="72"/>
        <v>0.63962928485879322</v>
      </c>
      <c r="J384" s="11">
        <f t="shared" ca="1" si="73"/>
        <v>10</v>
      </c>
      <c r="K384" s="24">
        <v>96</v>
      </c>
      <c r="L384" s="24">
        <f t="shared" ca="1" si="74"/>
        <v>100</v>
      </c>
      <c r="M384" s="24">
        <v>400</v>
      </c>
      <c r="N384" s="24">
        <v>20</v>
      </c>
      <c r="O384" s="24">
        <f t="shared" ca="1" si="75"/>
        <v>616</v>
      </c>
      <c r="P384" s="24">
        <v>402</v>
      </c>
      <c r="Q384" s="11">
        <f t="shared" ca="1" si="76"/>
        <v>100</v>
      </c>
      <c r="R384" s="24">
        <v>200</v>
      </c>
      <c r="S384" s="24">
        <v>10</v>
      </c>
      <c r="T384" s="24">
        <f t="shared" ca="1" si="77"/>
        <v>712</v>
      </c>
    </row>
    <row r="385" spans="1:20" x14ac:dyDescent="0.45">
      <c r="A385" s="11">
        <v>372</v>
      </c>
      <c r="B385" s="11">
        <f t="shared" ca="1" si="65"/>
        <v>0.4509509655691214</v>
      </c>
      <c r="C385" s="11">
        <f t="shared" ca="1" si="66"/>
        <v>1200</v>
      </c>
      <c r="D385" s="11">
        <f t="shared" ca="1" si="67"/>
        <v>0.54654398974307317</v>
      </c>
      <c r="E385" s="11">
        <f t="shared" ca="1" si="68"/>
        <v>1300</v>
      </c>
      <c r="F385" s="11">
        <f t="shared" ca="1" si="69"/>
        <v>0.13013146583437751</v>
      </c>
      <c r="G385" s="11">
        <f t="shared" ca="1" si="70"/>
        <v>1100</v>
      </c>
      <c r="H385" s="11">
        <f t="shared" ca="1" si="71"/>
        <v>1100</v>
      </c>
      <c r="I385" s="11">
        <f t="shared" ca="1" si="72"/>
        <v>0.4835601631026113</v>
      </c>
      <c r="J385" s="11">
        <f t="shared" ca="1" si="73"/>
        <v>5</v>
      </c>
      <c r="K385" s="24">
        <v>96</v>
      </c>
      <c r="L385" s="24">
        <f t="shared" ca="1" si="74"/>
        <v>50</v>
      </c>
      <c r="M385" s="24">
        <v>400</v>
      </c>
      <c r="N385" s="24">
        <v>20</v>
      </c>
      <c r="O385" s="24">
        <f t="shared" ca="1" si="75"/>
        <v>566</v>
      </c>
      <c r="P385" s="24">
        <v>403</v>
      </c>
      <c r="Q385" s="11">
        <f t="shared" ca="1" si="76"/>
        <v>50</v>
      </c>
      <c r="R385" s="24">
        <v>200</v>
      </c>
      <c r="S385" s="24">
        <v>10</v>
      </c>
      <c r="T385" s="24">
        <f t="shared" ca="1" si="77"/>
        <v>663</v>
      </c>
    </row>
    <row r="386" spans="1:20" x14ac:dyDescent="0.45">
      <c r="A386" s="11">
        <v>373</v>
      </c>
      <c r="B386" s="11">
        <f t="shared" ca="1" si="65"/>
        <v>0.86493722134848094</v>
      </c>
      <c r="C386" s="11">
        <f t="shared" ca="1" si="66"/>
        <v>1700</v>
      </c>
      <c r="D386" s="11">
        <f t="shared" ca="1" si="67"/>
        <v>0.57211899976909764</v>
      </c>
      <c r="E386" s="11">
        <f t="shared" ca="1" si="68"/>
        <v>1300</v>
      </c>
      <c r="F386" s="11">
        <f t="shared" ca="1" si="69"/>
        <v>0.48505306102491175</v>
      </c>
      <c r="G386" s="11">
        <f t="shared" ca="1" si="70"/>
        <v>1300</v>
      </c>
      <c r="H386" s="11">
        <f t="shared" ca="1" si="71"/>
        <v>1300</v>
      </c>
      <c r="I386" s="11">
        <f t="shared" ca="1" si="72"/>
        <v>0.19880464304468581</v>
      </c>
      <c r="J386" s="11">
        <f t="shared" ca="1" si="73"/>
        <v>5</v>
      </c>
      <c r="K386" s="24">
        <v>96</v>
      </c>
      <c r="L386" s="24">
        <f t="shared" ca="1" si="74"/>
        <v>50</v>
      </c>
      <c r="M386" s="24">
        <v>400</v>
      </c>
      <c r="N386" s="24">
        <v>20</v>
      </c>
      <c r="O386" s="24">
        <f t="shared" ca="1" si="75"/>
        <v>566</v>
      </c>
      <c r="P386" s="24">
        <v>404</v>
      </c>
      <c r="Q386" s="11">
        <f t="shared" ca="1" si="76"/>
        <v>50</v>
      </c>
      <c r="R386" s="24">
        <v>200</v>
      </c>
      <c r="S386" s="24">
        <v>10</v>
      </c>
      <c r="T386" s="24">
        <f t="shared" ca="1" si="77"/>
        <v>664</v>
      </c>
    </row>
    <row r="387" spans="1:20" x14ac:dyDescent="0.45">
      <c r="A387" s="11">
        <v>374</v>
      </c>
      <c r="B387" s="11">
        <f t="shared" ca="1" si="65"/>
        <v>0.66461452975163937</v>
      </c>
      <c r="C387" s="11">
        <f t="shared" ca="1" si="66"/>
        <v>1400</v>
      </c>
      <c r="D387" s="11">
        <f t="shared" ca="1" si="67"/>
        <v>0.30075723423008383</v>
      </c>
      <c r="E387" s="11">
        <f t="shared" ca="1" si="68"/>
        <v>1200</v>
      </c>
      <c r="F387" s="11">
        <f t="shared" ca="1" si="69"/>
        <v>0.23152245353388812</v>
      </c>
      <c r="G387" s="11">
        <f t="shared" ca="1" si="70"/>
        <v>1200</v>
      </c>
      <c r="H387" s="11">
        <f t="shared" ca="1" si="71"/>
        <v>1200</v>
      </c>
      <c r="I387" s="11">
        <f t="shared" ca="1" si="72"/>
        <v>0.48178535256205357</v>
      </c>
      <c r="J387" s="11">
        <f t="shared" ca="1" si="73"/>
        <v>5</v>
      </c>
      <c r="K387" s="24">
        <v>96</v>
      </c>
      <c r="L387" s="24">
        <f t="shared" ca="1" si="74"/>
        <v>50</v>
      </c>
      <c r="M387" s="24">
        <v>400</v>
      </c>
      <c r="N387" s="24">
        <v>20</v>
      </c>
      <c r="O387" s="24">
        <f t="shared" ca="1" si="75"/>
        <v>566</v>
      </c>
      <c r="P387" s="24">
        <v>405</v>
      </c>
      <c r="Q387" s="11">
        <f t="shared" ca="1" si="76"/>
        <v>50</v>
      </c>
      <c r="R387" s="24">
        <v>200</v>
      </c>
      <c r="S387" s="24">
        <v>10</v>
      </c>
      <c r="T387" s="24">
        <f t="shared" ca="1" si="77"/>
        <v>665</v>
      </c>
    </row>
    <row r="388" spans="1:20" x14ac:dyDescent="0.45">
      <c r="A388" s="11">
        <v>375</v>
      </c>
      <c r="B388" s="11">
        <f t="shared" ca="1" si="65"/>
        <v>0.29167838728745965</v>
      </c>
      <c r="C388" s="11">
        <f t="shared" ca="1" si="66"/>
        <v>1200</v>
      </c>
      <c r="D388" s="11">
        <f t="shared" ca="1" si="67"/>
        <v>0.83405351689396767</v>
      </c>
      <c r="E388" s="11">
        <f t="shared" ca="1" si="68"/>
        <v>1600</v>
      </c>
      <c r="F388" s="11">
        <f t="shared" ca="1" si="69"/>
        <v>0.88005688492610601</v>
      </c>
      <c r="G388" s="11">
        <f t="shared" ca="1" si="70"/>
        <v>1700</v>
      </c>
      <c r="H388" s="11">
        <f t="shared" ca="1" si="71"/>
        <v>1200</v>
      </c>
      <c r="I388" s="11">
        <f t="shared" ca="1" si="72"/>
        <v>0.49911564534328423</v>
      </c>
      <c r="J388" s="11">
        <f t="shared" ca="1" si="73"/>
        <v>5</v>
      </c>
      <c r="K388" s="24">
        <v>96</v>
      </c>
      <c r="L388" s="24">
        <f t="shared" ca="1" si="74"/>
        <v>50</v>
      </c>
      <c r="M388" s="24">
        <v>400</v>
      </c>
      <c r="N388" s="24">
        <v>20</v>
      </c>
      <c r="O388" s="24">
        <f t="shared" ca="1" si="75"/>
        <v>566</v>
      </c>
      <c r="P388" s="24">
        <v>406</v>
      </c>
      <c r="Q388" s="11">
        <f t="shared" ca="1" si="76"/>
        <v>50</v>
      </c>
      <c r="R388" s="24">
        <v>200</v>
      </c>
      <c r="S388" s="24">
        <v>10</v>
      </c>
      <c r="T388" s="24">
        <f t="shared" ca="1" si="77"/>
        <v>666</v>
      </c>
    </row>
    <row r="389" spans="1:20" x14ac:dyDescent="0.45">
      <c r="A389" s="11">
        <v>376</v>
      </c>
      <c r="B389" s="11">
        <f t="shared" ca="1" si="65"/>
        <v>0.2167804851414038</v>
      </c>
      <c r="C389" s="11">
        <f t="shared" ca="1" si="66"/>
        <v>1100</v>
      </c>
      <c r="D389" s="11">
        <f t="shared" ca="1" si="67"/>
        <v>1.4348679590508673E-2</v>
      </c>
      <c r="E389" s="11">
        <f t="shared" ca="1" si="68"/>
        <v>1000</v>
      </c>
      <c r="F389" s="11">
        <f t="shared" ca="1" si="69"/>
        <v>0.55436329259855832</v>
      </c>
      <c r="G389" s="11">
        <f t="shared" ca="1" si="70"/>
        <v>1300</v>
      </c>
      <c r="H389" s="11">
        <f t="shared" ca="1" si="71"/>
        <v>1000</v>
      </c>
      <c r="I389" s="11">
        <f t="shared" ca="1" si="72"/>
        <v>0.8316889252243117</v>
      </c>
      <c r="J389" s="11">
        <f t="shared" ca="1" si="73"/>
        <v>10</v>
      </c>
      <c r="K389" s="24">
        <v>96</v>
      </c>
      <c r="L389" s="24">
        <f t="shared" ca="1" si="74"/>
        <v>100</v>
      </c>
      <c r="M389" s="24">
        <v>400</v>
      </c>
      <c r="N389" s="24">
        <v>20</v>
      </c>
      <c r="O389" s="24">
        <f t="shared" ca="1" si="75"/>
        <v>616</v>
      </c>
      <c r="P389" s="24">
        <v>407</v>
      </c>
      <c r="Q389" s="11">
        <f t="shared" ca="1" si="76"/>
        <v>100</v>
      </c>
      <c r="R389" s="24">
        <v>200</v>
      </c>
      <c r="S389" s="24">
        <v>10</v>
      </c>
      <c r="T389" s="24">
        <f t="shared" ca="1" si="77"/>
        <v>717</v>
      </c>
    </row>
    <row r="390" spans="1:20" x14ac:dyDescent="0.45">
      <c r="A390" s="11">
        <v>377</v>
      </c>
      <c r="B390" s="11">
        <f t="shared" ca="1" si="65"/>
        <v>0.52713662033720488</v>
      </c>
      <c r="C390" s="11">
        <f t="shared" ca="1" si="66"/>
        <v>1300</v>
      </c>
      <c r="D390" s="11">
        <f t="shared" ca="1" si="67"/>
        <v>0.22694276735611074</v>
      </c>
      <c r="E390" s="11">
        <f t="shared" ca="1" si="68"/>
        <v>1100</v>
      </c>
      <c r="F390" s="11">
        <f t="shared" ca="1" si="69"/>
        <v>0.17238334244960829</v>
      </c>
      <c r="G390" s="11">
        <f t="shared" ca="1" si="70"/>
        <v>1100</v>
      </c>
      <c r="H390" s="11">
        <f t="shared" ca="1" si="71"/>
        <v>1100</v>
      </c>
      <c r="I390" s="11">
        <f t="shared" ca="1" si="72"/>
        <v>0.32034217393457698</v>
      </c>
      <c r="J390" s="11">
        <f t="shared" ca="1" si="73"/>
        <v>5</v>
      </c>
      <c r="K390" s="24">
        <v>96</v>
      </c>
      <c r="L390" s="24">
        <f t="shared" ca="1" si="74"/>
        <v>50</v>
      </c>
      <c r="M390" s="24">
        <v>400</v>
      </c>
      <c r="N390" s="24">
        <v>20</v>
      </c>
      <c r="O390" s="24">
        <f t="shared" ca="1" si="75"/>
        <v>566</v>
      </c>
      <c r="P390" s="24">
        <v>408</v>
      </c>
      <c r="Q390" s="11">
        <f t="shared" ca="1" si="76"/>
        <v>50</v>
      </c>
      <c r="R390" s="24">
        <v>200</v>
      </c>
      <c r="S390" s="24">
        <v>10</v>
      </c>
      <c r="T390" s="24">
        <f t="shared" ca="1" si="77"/>
        <v>668</v>
      </c>
    </row>
    <row r="391" spans="1:20" x14ac:dyDescent="0.45">
      <c r="A391" s="11">
        <v>378</v>
      </c>
      <c r="B391" s="11">
        <f t="shared" ca="1" si="65"/>
        <v>0.36291903408584203</v>
      </c>
      <c r="C391" s="11">
        <f t="shared" ca="1" si="66"/>
        <v>1200</v>
      </c>
      <c r="D391" s="11">
        <f t="shared" ca="1" si="67"/>
        <v>0.87048959427009953</v>
      </c>
      <c r="E391" s="11">
        <f t="shared" ca="1" si="68"/>
        <v>1700</v>
      </c>
      <c r="F391" s="11">
        <f t="shared" ca="1" si="69"/>
        <v>0.57405564620460814</v>
      </c>
      <c r="G391" s="11">
        <f t="shared" ca="1" si="70"/>
        <v>1300</v>
      </c>
      <c r="H391" s="11">
        <f t="shared" ca="1" si="71"/>
        <v>1200</v>
      </c>
      <c r="I391" s="11">
        <f t="shared" ca="1" si="72"/>
        <v>0.61520813689456666</v>
      </c>
      <c r="J391" s="11">
        <f t="shared" ca="1" si="73"/>
        <v>10</v>
      </c>
      <c r="K391" s="24">
        <v>96</v>
      </c>
      <c r="L391" s="24">
        <f t="shared" ca="1" si="74"/>
        <v>100</v>
      </c>
      <c r="M391" s="24">
        <v>400</v>
      </c>
      <c r="N391" s="24">
        <v>20</v>
      </c>
      <c r="O391" s="24">
        <f t="shared" ca="1" si="75"/>
        <v>616</v>
      </c>
      <c r="P391" s="24">
        <v>409</v>
      </c>
      <c r="Q391" s="11">
        <f t="shared" ca="1" si="76"/>
        <v>100</v>
      </c>
      <c r="R391" s="24">
        <v>200</v>
      </c>
      <c r="S391" s="24">
        <v>10</v>
      </c>
      <c r="T391" s="24">
        <f t="shared" ca="1" si="77"/>
        <v>719</v>
      </c>
    </row>
    <row r="392" spans="1:20" x14ac:dyDescent="0.45">
      <c r="A392" s="11">
        <v>379</v>
      </c>
      <c r="B392" s="11">
        <f t="shared" ca="1" si="65"/>
        <v>0.89227903711325751</v>
      </c>
      <c r="C392" s="11">
        <f t="shared" ca="1" si="66"/>
        <v>1700</v>
      </c>
      <c r="D392" s="11">
        <f t="shared" ca="1" si="67"/>
        <v>9.6589732598707845E-2</v>
      </c>
      <c r="E392" s="11">
        <f t="shared" ca="1" si="68"/>
        <v>1000</v>
      </c>
      <c r="F392" s="11">
        <f t="shared" ca="1" si="69"/>
        <v>0.36551006542458975</v>
      </c>
      <c r="G392" s="11">
        <f t="shared" ca="1" si="70"/>
        <v>1200</v>
      </c>
      <c r="H392" s="11">
        <f t="shared" ca="1" si="71"/>
        <v>1000</v>
      </c>
      <c r="I392" s="11">
        <f t="shared" ca="1" si="72"/>
        <v>0.93657650437586881</v>
      </c>
      <c r="J392" s="11">
        <f t="shared" ca="1" si="73"/>
        <v>15</v>
      </c>
      <c r="K392" s="24">
        <v>96</v>
      </c>
      <c r="L392" s="24">
        <f t="shared" ca="1" si="74"/>
        <v>150</v>
      </c>
      <c r="M392" s="24">
        <v>400</v>
      </c>
      <c r="N392" s="24">
        <v>20</v>
      </c>
      <c r="O392" s="24">
        <f t="shared" ca="1" si="75"/>
        <v>666</v>
      </c>
      <c r="P392" s="24">
        <v>410</v>
      </c>
      <c r="Q392" s="11">
        <f t="shared" ca="1" si="76"/>
        <v>150</v>
      </c>
      <c r="R392" s="24">
        <v>200</v>
      </c>
      <c r="S392" s="24">
        <v>10</v>
      </c>
      <c r="T392" s="24">
        <f t="shared" ca="1" si="77"/>
        <v>770</v>
      </c>
    </row>
    <row r="393" spans="1:20" x14ac:dyDescent="0.45">
      <c r="A393" s="11">
        <v>380</v>
      </c>
      <c r="B393" s="11">
        <f t="shared" ca="1" si="65"/>
        <v>0.90368411092296541</v>
      </c>
      <c r="C393" s="11">
        <f t="shared" ca="1" si="66"/>
        <v>1800</v>
      </c>
      <c r="D393" s="11">
        <f t="shared" ca="1" si="67"/>
        <v>0.27930281237879451</v>
      </c>
      <c r="E393" s="11">
        <f t="shared" ca="1" si="68"/>
        <v>1200</v>
      </c>
      <c r="F393" s="11">
        <f t="shared" ca="1" si="69"/>
        <v>0.2023455744145326</v>
      </c>
      <c r="G393" s="11">
        <f t="shared" ca="1" si="70"/>
        <v>1100</v>
      </c>
      <c r="H393" s="11">
        <f t="shared" ca="1" si="71"/>
        <v>1100</v>
      </c>
      <c r="I393" s="11">
        <f t="shared" ca="1" si="72"/>
        <v>0.11687401801776043</v>
      </c>
      <c r="J393" s="11">
        <f t="shared" ca="1" si="73"/>
        <v>5</v>
      </c>
      <c r="K393" s="24">
        <v>96</v>
      </c>
      <c r="L393" s="24">
        <f t="shared" ca="1" si="74"/>
        <v>50</v>
      </c>
      <c r="M393" s="24">
        <v>400</v>
      </c>
      <c r="N393" s="24">
        <v>20</v>
      </c>
      <c r="O393" s="24">
        <f t="shared" ca="1" si="75"/>
        <v>566</v>
      </c>
      <c r="P393" s="24">
        <v>411</v>
      </c>
      <c r="Q393" s="11">
        <f t="shared" ca="1" si="76"/>
        <v>50</v>
      </c>
      <c r="R393" s="24">
        <v>200</v>
      </c>
      <c r="S393" s="24">
        <v>10</v>
      </c>
      <c r="T393" s="24">
        <f t="shared" ca="1" si="77"/>
        <v>671</v>
      </c>
    </row>
    <row r="394" spans="1:20" x14ac:dyDescent="0.45">
      <c r="A394" s="11">
        <v>381</v>
      </c>
      <c r="B394" s="11">
        <f t="shared" ca="1" si="65"/>
        <v>0.73473439574868726</v>
      </c>
      <c r="C394" s="11">
        <f t="shared" ca="1" si="66"/>
        <v>1500</v>
      </c>
      <c r="D394" s="11">
        <f t="shared" ca="1" si="67"/>
        <v>2.2286288112627228E-2</v>
      </c>
      <c r="E394" s="11">
        <f t="shared" ca="1" si="68"/>
        <v>1000</v>
      </c>
      <c r="F394" s="11">
        <f t="shared" ca="1" si="69"/>
        <v>0.80254418157385665</v>
      </c>
      <c r="G394" s="11">
        <f t="shared" ca="1" si="70"/>
        <v>1500</v>
      </c>
      <c r="H394" s="11">
        <f t="shared" ca="1" si="71"/>
        <v>1000</v>
      </c>
      <c r="I394" s="11">
        <f t="shared" ca="1" si="72"/>
        <v>0.83989078367751713</v>
      </c>
      <c r="J394" s="11">
        <f t="shared" ca="1" si="73"/>
        <v>10</v>
      </c>
      <c r="K394" s="24">
        <v>96</v>
      </c>
      <c r="L394" s="24">
        <f t="shared" ca="1" si="74"/>
        <v>100</v>
      </c>
      <c r="M394" s="24">
        <v>400</v>
      </c>
      <c r="N394" s="24">
        <v>20</v>
      </c>
      <c r="O394" s="24">
        <f t="shared" ca="1" si="75"/>
        <v>616</v>
      </c>
      <c r="P394" s="24">
        <v>412</v>
      </c>
      <c r="Q394" s="11">
        <f t="shared" ca="1" si="76"/>
        <v>100</v>
      </c>
      <c r="R394" s="24">
        <v>200</v>
      </c>
      <c r="S394" s="24">
        <v>10</v>
      </c>
      <c r="T394" s="24">
        <f t="shared" ca="1" si="77"/>
        <v>722</v>
      </c>
    </row>
    <row r="395" spans="1:20" x14ac:dyDescent="0.45">
      <c r="A395" s="11">
        <v>382</v>
      </c>
      <c r="B395" s="11">
        <f t="shared" ca="1" si="65"/>
        <v>9.9902806821210777E-2</v>
      </c>
      <c r="C395" s="11">
        <f t="shared" ca="1" si="66"/>
        <v>1000</v>
      </c>
      <c r="D395" s="11">
        <f t="shared" ca="1" si="67"/>
        <v>0.32534757829060645</v>
      </c>
      <c r="E395" s="11">
        <f t="shared" ca="1" si="68"/>
        <v>1200</v>
      </c>
      <c r="F395" s="11">
        <f t="shared" ca="1" si="69"/>
        <v>0.94815590754100831</v>
      </c>
      <c r="G395" s="11">
        <f t="shared" ca="1" si="70"/>
        <v>1800</v>
      </c>
      <c r="H395" s="11">
        <f t="shared" ca="1" si="71"/>
        <v>1000</v>
      </c>
      <c r="I395" s="11">
        <f t="shared" ca="1" si="72"/>
        <v>0.51694157383074757</v>
      </c>
      <c r="J395" s="11">
        <f t="shared" ca="1" si="73"/>
        <v>5</v>
      </c>
      <c r="K395" s="24">
        <v>96</v>
      </c>
      <c r="L395" s="24">
        <f t="shared" ca="1" si="74"/>
        <v>50</v>
      </c>
      <c r="M395" s="24">
        <v>400</v>
      </c>
      <c r="N395" s="24">
        <v>20</v>
      </c>
      <c r="O395" s="24">
        <f t="shared" ca="1" si="75"/>
        <v>566</v>
      </c>
      <c r="P395" s="24">
        <v>413</v>
      </c>
      <c r="Q395" s="11">
        <f t="shared" ca="1" si="76"/>
        <v>50</v>
      </c>
      <c r="R395" s="24">
        <v>200</v>
      </c>
      <c r="S395" s="24">
        <v>10</v>
      </c>
      <c r="T395" s="24">
        <f t="shared" ca="1" si="77"/>
        <v>673</v>
      </c>
    </row>
    <row r="396" spans="1:20" x14ac:dyDescent="0.45">
      <c r="A396" s="11">
        <v>383</v>
      </c>
      <c r="B396" s="11">
        <f t="shared" ca="1" si="65"/>
        <v>3.8041449312443465E-2</v>
      </c>
      <c r="C396" s="11">
        <f t="shared" ca="1" si="66"/>
        <v>1000</v>
      </c>
      <c r="D396" s="11">
        <f t="shared" ca="1" si="67"/>
        <v>0.80902661481044025</v>
      </c>
      <c r="E396" s="11">
        <f t="shared" ca="1" si="68"/>
        <v>1500</v>
      </c>
      <c r="F396" s="11">
        <f t="shared" ca="1" si="69"/>
        <v>0.7711573409827247</v>
      </c>
      <c r="G396" s="11">
        <f t="shared" ca="1" si="70"/>
        <v>1500</v>
      </c>
      <c r="H396" s="11">
        <f t="shared" ca="1" si="71"/>
        <v>1000</v>
      </c>
      <c r="I396" s="11">
        <f t="shared" ca="1" si="72"/>
        <v>0.72353819349981363</v>
      </c>
      <c r="J396" s="11">
        <f t="shared" ca="1" si="73"/>
        <v>10</v>
      </c>
      <c r="K396" s="24">
        <v>96</v>
      </c>
      <c r="L396" s="24">
        <f t="shared" ca="1" si="74"/>
        <v>100</v>
      </c>
      <c r="M396" s="24">
        <v>400</v>
      </c>
      <c r="N396" s="24">
        <v>20</v>
      </c>
      <c r="O396" s="24">
        <f t="shared" ca="1" si="75"/>
        <v>616</v>
      </c>
      <c r="P396" s="24">
        <v>414</v>
      </c>
      <c r="Q396" s="11">
        <f t="shared" ca="1" si="76"/>
        <v>100</v>
      </c>
      <c r="R396" s="24">
        <v>200</v>
      </c>
      <c r="S396" s="24">
        <v>10</v>
      </c>
      <c r="T396" s="24">
        <f t="shared" ca="1" si="77"/>
        <v>724</v>
      </c>
    </row>
    <row r="397" spans="1:20" x14ac:dyDescent="0.45">
      <c r="A397" s="11">
        <v>384</v>
      </c>
      <c r="B397" s="11">
        <f t="shared" ca="1" si="65"/>
        <v>9.9651299585510333E-2</v>
      </c>
      <c r="C397" s="11">
        <f t="shared" ca="1" si="66"/>
        <v>1000</v>
      </c>
      <c r="D397" s="11">
        <f t="shared" ca="1" si="67"/>
        <v>0.78631357744520414</v>
      </c>
      <c r="E397" s="11">
        <f t="shared" ca="1" si="68"/>
        <v>1500</v>
      </c>
      <c r="F397" s="11">
        <f t="shared" ca="1" si="69"/>
        <v>0.92326452042283458</v>
      </c>
      <c r="G397" s="11">
        <f t="shared" ca="1" si="70"/>
        <v>1800</v>
      </c>
      <c r="H397" s="11">
        <f t="shared" ca="1" si="71"/>
        <v>1000</v>
      </c>
      <c r="I397" s="11">
        <f t="shared" ca="1" si="72"/>
        <v>0.88061033927070065</v>
      </c>
      <c r="J397" s="11">
        <f t="shared" ca="1" si="73"/>
        <v>10</v>
      </c>
      <c r="K397" s="24">
        <v>96</v>
      </c>
      <c r="L397" s="24">
        <f t="shared" ca="1" si="74"/>
        <v>100</v>
      </c>
      <c r="M397" s="24">
        <v>400</v>
      </c>
      <c r="N397" s="24">
        <v>20</v>
      </c>
      <c r="O397" s="24">
        <f t="shared" ca="1" si="75"/>
        <v>616</v>
      </c>
      <c r="P397" s="24">
        <v>415</v>
      </c>
      <c r="Q397" s="11">
        <f t="shared" ca="1" si="76"/>
        <v>100</v>
      </c>
      <c r="R397" s="24">
        <v>200</v>
      </c>
      <c r="S397" s="24">
        <v>10</v>
      </c>
      <c r="T397" s="24">
        <f t="shared" ca="1" si="77"/>
        <v>725</v>
      </c>
    </row>
    <row r="398" spans="1:20" x14ac:dyDescent="0.45">
      <c r="A398" s="11">
        <v>385</v>
      </c>
      <c r="B398" s="11">
        <f t="shared" ca="1" si="65"/>
        <v>0.39656332884989509</v>
      </c>
      <c r="C398" s="11">
        <f t="shared" ca="1" si="66"/>
        <v>1200</v>
      </c>
      <c r="D398" s="11">
        <f t="shared" ca="1" si="67"/>
        <v>6.3794674420446507E-2</v>
      </c>
      <c r="E398" s="11">
        <f t="shared" ca="1" si="68"/>
        <v>1000</v>
      </c>
      <c r="F398" s="11">
        <f t="shared" ca="1" si="69"/>
        <v>0.13059524546441481</v>
      </c>
      <c r="G398" s="11">
        <f t="shared" ca="1" si="70"/>
        <v>1100</v>
      </c>
      <c r="H398" s="11">
        <f t="shared" ca="1" si="71"/>
        <v>1000</v>
      </c>
      <c r="I398" s="11">
        <f t="shared" ca="1" si="72"/>
        <v>0.36051550635967577</v>
      </c>
      <c r="J398" s="11">
        <f t="shared" ca="1" si="73"/>
        <v>5</v>
      </c>
      <c r="K398" s="24">
        <v>96</v>
      </c>
      <c r="L398" s="24">
        <f t="shared" ca="1" si="74"/>
        <v>50</v>
      </c>
      <c r="M398" s="24">
        <v>400</v>
      </c>
      <c r="N398" s="24">
        <v>20</v>
      </c>
      <c r="O398" s="24">
        <f t="shared" ca="1" si="75"/>
        <v>566</v>
      </c>
      <c r="P398" s="24">
        <v>416</v>
      </c>
      <c r="Q398" s="11">
        <f t="shared" ca="1" si="76"/>
        <v>50</v>
      </c>
      <c r="R398" s="24">
        <v>200</v>
      </c>
      <c r="S398" s="24">
        <v>10</v>
      </c>
      <c r="T398" s="24">
        <f t="shared" ca="1" si="77"/>
        <v>676</v>
      </c>
    </row>
    <row r="399" spans="1:20" x14ac:dyDescent="0.45">
      <c r="A399" s="11">
        <v>386</v>
      </c>
      <c r="B399" s="11">
        <f t="shared" ref="B399:B462" ca="1" si="78">RAND()</f>
        <v>0.27274339729125985</v>
      </c>
      <c r="C399" s="11">
        <f t="shared" ref="C399:C462" ca="1" si="79">LOOKUP(B399, $C$2:$C$11, $A$2:$A$11)</f>
        <v>1200</v>
      </c>
      <c r="D399" s="11">
        <f t="shared" ref="D399:D462" ca="1" si="80">RAND()</f>
        <v>0.37998397192999767</v>
      </c>
      <c r="E399" s="11">
        <f t="shared" ref="E399:E462" ca="1" si="81">LOOKUP(D399, $C$2:$C$11, $A$2:$A$11)</f>
        <v>1200</v>
      </c>
      <c r="F399" s="11">
        <f t="shared" ref="F399:F462" ca="1" si="82">RAND()</f>
        <v>0.70517529615696406</v>
      </c>
      <c r="G399" s="11">
        <f t="shared" ref="G399:G462" ca="1" si="83">LOOKUP(F399, $C$2:$C$11, $A$2:$A$11)</f>
        <v>1500</v>
      </c>
      <c r="H399" s="11">
        <f t="shared" ref="H399:H462" ca="1" si="84">MIN(C399, E399, G399)</f>
        <v>1200</v>
      </c>
      <c r="I399" s="11">
        <f t="shared" ref="I399:I462" ca="1" si="85">RAND()</f>
        <v>0.21711249277256439</v>
      </c>
      <c r="J399" s="11">
        <f t="shared" ref="J399:J462" ca="1" si="86">LOOKUP(I399, $G$2:$G$4, $E$2:$E$4)</f>
        <v>5</v>
      </c>
      <c r="K399" s="24">
        <v>96</v>
      </c>
      <c r="L399" s="24">
        <f t="shared" ref="L399:L462" ca="1" si="87">J399*10</f>
        <v>50</v>
      </c>
      <c r="M399" s="24">
        <v>400</v>
      </c>
      <c r="N399" s="24">
        <v>20</v>
      </c>
      <c r="O399" s="24">
        <f t="shared" ref="O399:O462" ca="1" si="88">K399+L399+M399+N399</f>
        <v>566</v>
      </c>
      <c r="P399" s="24">
        <v>417</v>
      </c>
      <c r="Q399" s="11">
        <f t="shared" ref="Q399:Q462" ca="1" si="89">J399*10</f>
        <v>50</v>
      </c>
      <c r="R399" s="24">
        <v>200</v>
      </c>
      <c r="S399" s="24">
        <v>10</v>
      </c>
      <c r="T399" s="24">
        <f t="shared" ref="T399:T462" ca="1" si="90">SUM(P399:S399)</f>
        <v>677</v>
      </c>
    </row>
    <row r="400" spans="1:20" x14ac:dyDescent="0.45">
      <c r="A400" s="11">
        <v>387</v>
      </c>
      <c r="B400" s="11">
        <f t="shared" ca="1" si="78"/>
        <v>0.42842727885734122</v>
      </c>
      <c r="C400" s="11">
        <f t="shared" ca="1" si="79"/>
        <v>1200</v>
      </c>
      <c r="D400" s="11">
        <f t="shared" ca="1" si="80"/>
        <v>0.58714852904949166</v>
      </c>
      <c r="E400" s="11">
        <f t="shared" ca="1" si="81"/>
        <v>1300</v>
      </c>
      <c r="F400" s="11">
        <f t="shared" ca="1" si="82"/>
        <v>0.10727749362123307</v>
      </c>
      <c r="G400" s="11">
        <f t="shared" ca="1" si="83"/>
        <v>1100</v>
      </c>
      <c r="H400" s="11">
        <f t="shared" ca="1" si="84"/>
        <v>1100</v>
      </c>
      <c r="I400" s="11">
        <f t="shared" ca="1" si="85"/>
        <v>0.59308869727566771</v>
      </c>
      <c r="J400" s="11">
        <f t="shared" ca="1" si="86"/>
        <v>5</v>
      </c>
      <c r="K400" s="24">
        <v>96</v>
      </c>
      <c r="L400" s="24">
        <f t="shared" ca="1" si="87"/>
        <v>50</v>
      </c>
      <c r="M400" s="24">
        <v>400</v>
      </c>
      <c r="N400" s="24">
        <v>20</v>
      </c>
      <c r="O400" s="24">
        <f t="shared" ca="1" si="88"/>
        <v>566</v>
      </c>
      <c r="P400" s="24">
        <v>418</v>
      </c>
      <c r="Q400" s="11">
        <f t="shared" ca="1" si="89"/>
        <v>50</v>
      </c>
      <c r="R400" s="24">
        <v>200</v>
      </c>
      <c r="S400" s="24">
        <v>10</v>
      </c>
      <c r="T400" s="24">
        <f t="shared" ca="1" si="90"/>
        <v>678</v>
      </c>
    </row>
    <row r="401" spans="1:20" x14ac:dyDescent="0.45">
      <c r="A401" s="11">
        <v>388</v>
      </c>
      <c r="B401" s="11">
        <f t="shared" ca="1" si="78"/>
        <v>0.42060810045437458</v>
      </c>
      <c r="C401" s="11">
        <f t="shared" ca="1" si="79"/>
        <v>1200</v>
      </c>
      <c r="D401" s="11">
        <f t="shared" ca="1" si="80"/>
        <v>0.48881435131264528</v>
      </c>
      <c r="E401" s="11">
        <f t="shared" ca="1" si="81"/>
        <v>1300</v>
      </c>
      <c r="F401" s="11">
        <f t="shared" ca="1" si="82"/>
        <v>0.37645366892123722</v>
      </c>
      <c r="G401" s="11">
        <f t="shared" ca="1" si="83"/>
        <v>1200</v>
      </c>
      <c r="H401" s="11">
        <f t="shared" ca="1" si="84"/>
        <v>1200</v>
      </c>
      <c r="I401" s="11">
        <f t="shared" ca="1" si="85"/>
        <v>0.81718189832236199</v>
      </c>
      <c r="J401" s="11">
        <f t="shared" ca="1" si="86"/>
        <v>10</v>
      </c>
      <c r="K401" s="24">
        <v>96</v>
      </c>
      <c r="L401" s="24">
        <f t="shared" ca="1" si="87"/>
        <v>100</v>
      </c>
      <c r="M401" s="24">
        <v>400</v>
      </c>
      <c r="N401" s="24">
        <v>20</v>
      </c>
      <c r="O401" s="24">
        <f t="shared" ca="1" si="88"/>
        <v>616</v>
      </c>
      <c r="P401" s="24">
        <v>419</v>
      </c>
      <c r="Q401" s="11">
        <f t="shared" ca="1" si="89"/>
        <v>100</v>
      </c>
      <c r="R401" s="24">
        <v>200</v>
      </c>
      <c r="S401" s="24">
        <v>10</v>
      </c>
      <c r="T401" s="24">
        <f t="shared" ca="1" si="90"/>
        <v>729</v>
      </c>
    </row>
    <row r="402" spans="1:20" x14ac:dyDescent="0.45">
      <c r="A402" s="11">
        <v>389</v>
      </c>
      <c r="B402" s="11">
        <f t="shared" ca="1" si="78"/>
        <v>0.43545196775010742</v>
      </c>
      <c r="C402" s="11">
        <f t="shared" ca="1" si="79"/>
        <v>1200</v>
      </c>
      <c r="D402" s="11">
        <f t="shared" ca="1" si="80"/>
        <v>0.75015874969967278</v>
      </c>
      <c r="E402" s="11">
        <f t="shared" ca="1" si="81"/>
        <v>1500</v>
      </c>
      <c r="F402" s="11">
        <f t="shared" ca="1" si="82"/>
        <v>0.18660032780527291</v>
      </c>
      <c r="G402" s="11">
        <f t="shared" ca="1" si="83"/>
        <v>1100</v>
      </c>
      <c r="H402" s="11">
        <f t="shared" ca="1" si="84"/>
        <v>1100</v>
      </c>
      <c r="I402" s="11">
        <f t="shared" ca="1" si="85"/>
        <v>0.3523723820401361</v>
      </c>
      <c r="J402" s="11">
        <f t="shared" ca="1" si="86"/>
        <v>5</v>
      </c>
      <c r="K402" s="24">
        <v>96</v>
      </c>
      <c r="L402" s="24">
        <f t="shared" ca="1" si="87"/>
        <v>50</v>
      </c>
      <c r="M402" s="24">
        <v>400</v>
      </c>
      <c r="N402" s="24">
        <v>20</v>
      </c>
      <c r="O402" s="24">
        <f t="shared" ca="1" si="88"/>
        <v>566</v>
      </c>
      <c r="P402" s="24">
        <v>420</v>
      </c>
      <c r="Q402" s="11">
        <f t="shared" ca="1" si="89"/>
        <v>50</v>
      </c>
      <c r="R402" s="24">
        <v>200</v>
      </c>
      <c r="S402" s="24">
        <v>10</v>
      </c>
      <c r="T402" s="24">
        <f t="shared" ca="1" si="90"/>
        <v>680</v>
      </c>
    </row>
    <row r="403" spans="1:20" x14ac:dyDescent="0.45">
      <c r="A403" s="11">
        <v>390</v>
      </c>
      <c r="B403" s="11">
        <f t="shared" ca="1" si="78"/>
        <v>0.4366953275705342</v>
      </c>
      <c r="C403" s="11">
        <f t="shared" ca="1" si="79"/>
        <v>1200</v>
      </c>
      <c r="D403" s="11">
        <f t="shared" ca="1" si="80"/>
        <v>0.39548540484843386</v>
      </c>
      <c r="E403" s="11">
        <f t="shared" ca="1" si="81"/>
        <v>1200</v>
      </c>
      <c r="F403" s="11">
        <f t="shared" ca="1" si="82"/>
        <v>5.7606829939253146E-2</v>
      </c>
      <c r="G403" s="11">
        <f t="shared" ca="1" si="83"/>
        <v>1000</v>
      </c>
      <c r="H403" s="11">
        <f t="shared" ca="1" si="84"/>
        <v>1000</v>
      </c>
      <c r="I403" s="11">
        <f t="shared" ca="1" si="85"/>
        <v>0.23002107218392687</v>
      </c>
      <c r="J403" s="11">
        <f t="shared" ca="1" si="86"/>
        <v>5</v>
      </c>
      <c r="K403" s="24">
        <v>96</v>
      </c>
      <c r="L403" s="24">
        <f t="shared" ca="1" si="87"/>
        <v>50</v>
      </c>
      <c r="M403" s="24">
        <v>400</v>
      </c>
      <c r="N403" s="24">
        <v>20</v>
      </c>
      <c r="O403" s="24">
        <f t="shared" ca="1" si="88"/>
        <v>566</v>
      </c>
      <c r="P403" s="24">
        <v>421</v>
      </c>
      <c r="Q403" s="11">
        <f t="shared" ca="1" si="89"/>
        <v>50</v>
      </c>
      <c r="R403" s="24">
        <v>200</v>
      </c>
      <c r="S403" s="24">
        <v>10</v>
      </c>
      <c r="T403" s="24">
        <f t="shared" ca="1" si="90"/>
        <v>681</v>
      </c>
    </row>
    <row r="404" spans="1:20" x14ac:dyDescent="0.45">
      <c r="A404" s="11">
        <v>391</v>
      </c>
      <c r="B404" s="11">
        <f t="shared" ca="1" si="78"/>
        <v>0.94060281579820504</v>
      </c>
      <c r="C404" s="11">
        <f t="shared" ca="1" si="79"/>
        <v>1800</v>
      </c>
      <c r="D404" s="11">
        <f t="shared" ca="1" si="80"/>
        <v>0.55048405822525415</v>
      </c>
      <c r="E404" s="11">
        <f t="shared" ca="1" si="81"/>
        <v>1300</v>
      </c>
      <c r="F404" s="11">
        <f t="shared" ca="1" si="82"/>
        <v>0.72434116378058322</v>
      </c>
      <c r="G404" s="11">
        <f t="shared" ca="1" si="83"/>
        <v>1500</v>
      </c>
      <c r="H404" s="11">
        <f t="shared" ca="1" si="84"/>
        <v>1300</v>
      </c>
      <c r="I404" s="11">
        <f t="shared" ca="1" si="85"/>
        <v>0.22200724547679651</v>
      </c>
      <c r="J404" s="11">
        <f t="shared" ca="1" si="86"/>
        <v>5</v>
      </c>
      <c r="K404" s="24">
        <v>96</v>
      </c>
      <c r="L404" s="24">
        <f t="shared" ca="1" si="87"/>
        <v>50</v>
      </c>
      <c r="M404" s="24">
        <v>400</v>
      </c>
      <c r="N404" s="24">
        <v>20</v>
      </c>
      <c r="O404" s="24">
        <f t="shared" ca="1" si="88"/>
        <v>566</v>
      </c>
      <c r="P404" s="24">
        <v>422</v>
      </c>
      <c r="Q404" s="11">
        <f t="shared" ca="1" si="89"/>
        <v>50</v>
      </c>
      <c r="R404" s="24">
        <v>200</v>
      </c>
      <c r="S404" s="24">
        <v>10</v>
      </c>
      <c r="T404" s="24">
        <f t="shared" ca="1" si="90"/>
        <v>682</v>
      </c>
    </row>
    <row r="405" spans="1:20" x14ac:dyDescent="0.45">
      <c r="A405" s="11">
        <v>392</v>
      </c>
      <c r="B405" s="11">
        <f t="shared" ca="1" si="78"/>
        <v>0.68613690944104766</v>
      </c>
      <c r="C405" s="11">
        <f t="shared" ca="1" si="79"/>
        <v>1400</v>
      </c>
      <c r="D405" s="11">
        <f t="shared" ca="1" si="80"/>
        <v>0.48212172076872251</v>
      </c>
      <c r="E405" s="11">
        <f t="shared" ca="1" si="81"/>
        <v>1300</v>
      </c>
      <c r="F405" s="11">
        <f t="shared" ca="1" si="82"/>
        <v>0.39547761829610828</v>
      </c>
      <c r="G405" s="11">
        <f t="shared" ca="1" si="83"/>
        <v>1200</v>
      </c>
      <c r="H405" s="11">
        <f t="shared" ca="1" si="84"/>
        <v>1200</v>
      </c>
      <c r="I405" s="11">
        <f t="shared" ca="1" si="85"/>
        <v>0.79033587549284434</v>
      </c>
      <c r="J405" s="11">
        <f t="shared" ca="1" si="86"/>
        <v>10</v>
      </c>
      <c r="K405" s="24">
        <v>96</v>
      </c>
      <c r="L405" s="24">
        <f t="shared" ca="1" si="87"/>
        <v>100</v>
      </c>
      <c r="M405" s="24">
        <v>400</v>
      </c>
      <c r="N405" s="24">
        <v>20</v>
      </c>
      <c r="O405" s="24">
        <f t="shared" ca="1" si="88"/>
        <v>616</v>
      </c>
      <c r="P405" s="24">
        <v>423</v>
      </c>
      <c r="Q405" s="11">
        <f t="shared" ca="1" si="89"/>
        <v>100</v>
      </c>
      <c r="R405" s="24">
        <v>200</v>
      </c>
      <c r="S405" s="24">
        <v>10</v>
      </c>
      <c r="T405" s="24">
        <f t="shared" ca="1" si="90"/>
        <v>733</v>
      </c>
    </row>
    <row r="406" spans="1:20" x14ac:dyDescent="0.45">
      <c r="A406" s="11">
        <v>393</v>
      </c>
      <c r="B406" s="11">
        <f t="shared" ca="1" si="78"/>
        <v>0.30540843387247329</v>
      </c>
      <c r="C406" s="11">
        <f t="shared" ca="1" si="79"/>
        <v>1200</v>
      </c>
      <c r="D406" s="11">
        <f t="shared" ca="1" si="80"/>
        <v>0.12903680883759683</v>
      </c>
      <c r="E406" s="11">
        <f t="shared" ca="1" si="81"/>
        <v>1100</v>
      </c>
      <c r="F406" s="11">
        <f t="shared" ca="1" si="82"/>
        <v>3.6961487685577166E-2</v>
      </c>
      <c r="G406" s="11">
        <f t="shared" ca="1" si="83"/>
        <v>1000</v>
      </c>
      <c r="H406" s="11">
        <f t="shared" ca="1" si="84"/>
        <v>1000</v>
      </c>
      <c r="I406" s="11">
        <f t="shared" ca="1" si="85"/>
        <v>0.66090812042763358</v>
      </c>
      <c r="J406" s="11">
        <f t="shared" ca="1" si="86"/>
        <v>10</v>
      </c>
      <c r="K406" s="24">
        <v>96</v>
      </c>
      <c r="L406" s="24">
        <f t="shared" ca="1" si="87"/>
        <v>100</v>
      </c>
      <c r="M406" s="24">
        <v>400</v>
      </c>
      <c r="N406" s="24">
        <v>20</v>
      </c>
      <c r="O406" s="24">
        <f t="shared" ca="1" si="88"/>
        <v>616</v>
      </c>
      <c r="P406" s="24">
        <v>424</v>
      </c>
      <c r="Q406" s="11">
        <f t="shared" ca="1" si="89"/>
        <v>100</v>
      </c>
      <c r="R406" s="24">
        <v>200</v>
      </c>
      <c r="S406" s="24">
        <v>10</v>
      </c>
      <c r="T406" s="24">
        <f t="shared" ca="1" si="90"/>
        <v>734</v>
      </c>
    </row>
    <row r="407" spans="1:20" x14ac:dyDescent="0.45">
      <c r="A407" s="11">
        <v>394</v>
      </c>
      <c r="B407" s="11">
        <f t="shared" ca="1" si="78"/>
        <v>0.65776629361445826</v>
      </c>
      <c r="C407" s="11">
        <f t="shared" ca="1" si="79"/>
        <v>1400</v>
      </c>
      <c r="D407" s="11">
        <f t="shared" ca="1" si="80"/>
        <v>0.72746111332240238</v>
      </c>
      <c r="E407" s="11">
        <f t="shared" ca="1" si="81"/>
        <v>1500</v>
      </c>
      <c r="F407" s="11">
        <f t="shared" ca="1" si="82"/>
        <v>0.90602495240729441</v>
      </c>
      <c r="G407" s="11">
        <f t="shared" ca="1" si="83"/>
        <v>1800</v>
      </c>
      <c r="H407" s="11">
        <f t="shared" ca="1" si="84"/>
        <v>1400</v>
      </c>
      <c r="I407" s="11">
        <f t="shared" ca="1" si="85"/>
        <v>0.80158674500708971</v>
      </c>
      <c r="J407" s="11">
        <f t="shared" ca="1" si="86"/>
        <v>10</v>
      </c>
      <c r="K407" s="24">
        <v>96</v>
      </c>
      <c r="L407" s="24">
        <f t="shared" ca="1" si="87"/>
        <v>100</v>
      </c>
      <c r="M407" s="24">
        <v>400</v>
      </c>
      <c r="N407" s="24">
        <v>20</v>
      </c>
      <c r="O407" s="24">
        <f t="shared" ca="1" si="88"/>
        <v>616</v>
      </c>
      <c r="P407" s="24">
        <v>425</v>
      </c>
      <c r="Q407" s="11">
        <f t="shared" ca="1" si="89"/>
        <v>100</v>
      </c>
      <c r="R407" s="24">
        <v>200</v>
      </c>
      <c r="S407" s="24">
        <v>10</v>
      </c>
      <c r="T407" s="24">
        <f t="shared" ca="1" si="90"/>
        <v>735</v>
      </c>
    </row>
    <row r="408" spans="1:20" x14ac:dyDescent="0.45">
      <c r="A408" s="11">
        <v>395</v>
      </c>
      <c r="B408" s="11">
        <f t="shared" ca="1" si="78"/>
        <v>0.45498547836108416</v>
      </c>
      <c r="C408" s="11">
        <f t="shared" ca="1" si="79"/>
        <v>1200</v>
      </c>
      <c r="D408" s="11">
        <f t="shared" ca="1" si="80"/>
        <v>0.10894262749559647</v>
      </c>
      <c r="E408" s="11">
        <f t="shared" ca="1" si="81"/>
        <v>1100</v>
      </c>
      <c r="F408" s="11">
        <f t="shared" ca="1" si="82"/>
        <v>0.94015588121590499</v>
      </c>
      <c r="G408" s="11">
        <f t="shared" ca="1" si="83"/>
        <v>1800</v>
      </c>
      <c r="H408" s="11">
        <f t="shared" ca="1" si="84"/>
        <v>1100</v>
      </c>
      <c r="I408" s="11">
        <f t="shared" ca="1" si="85"/>
        <v>0.17991669941174993</v>
      </c>
      <c r="J408" s="11">
        <f t="shared" ca="1" si="86"/>
        <v>5</v>
      </c>
      <c r="K408" s="24">
        <v>96</v>
      </c>
      <c r="L408" s="24">
        <f t="shared" ca="1" si="87"/>
        <v>50</v>
      </c>
      <c r="M408" s="24">
        <v>400</v>
      </c>
      <c r="N408" s="24">
        <v>20</v>
      </c>
      <c r="O408" s="24">
        <f t="shared" ca="1" si="88"/>
        <v>566</v>
      </c>
      <c r="P408" s="24">
        <v>426</v>
      </c>
      <c r="Q408" s="11">
        <f t="shared" ca="1" si="89"/>
        <v>50</v>
      </c>
      <c r="R408" s="24">
        <v>200</v>
      </c>
      <c r="S408" s="24">
        <v>10</v>
      </c>
      <c r="T408" s="24">
        <f t="shared" ca="1" si="90"/>
        <v>686</v>
      </c>
    </row>
    <row r="409" spans="1:20" x14ac:dyDescent="0.45">
      <c r="A409" s="11">
        <v>396</v>
      </c>
      <c r="B409" s="11">
        <f t="shared" ca="1" si="78"/>
        <v>0.84368181686979837</v>
      </c>
      <c r="C409" s="11">
        <f t="shared" ca="1" si="79"/>
        <v>1700</v>
      </c>
      <c r="D409" s="11">
        <f t="shared" ca="1" si="80"/>
        <v>0.83481005557671384</v>
      </c>
      <c r="E409" s="11">
        <f t="shared" ca="1" si="81"/>
        <v>1600</v>
      </c>
      <c r="F409" s="11">
        <f t="shared" ca="1" si="82"/>
        <v>0.73970088488622887</v>
      </c>
      <c r="G409" s="11">
        <f t="shared" ca="1" si="83"/>
        <v>1500</v>
      </c>
      <c r="H409" s="11">
        <f t="shared" ca="1" si="84"/>
        <v>1500</v>
      </c>
      <c r="I409" s="11">
        <f t="shared" ca="1" si="85"/>
        <v>0.92110579736110143</v>
      </c>
      <c r="J409" s="11">
        <f t="shared" ca="1" si="86"/>
        <v>15</v>
      </c>
      <c r="K409" s="24">
        <v>96</v>
      </c>
      <c r="L409" s="24">
        <f t="shared" ca="1" si="87"/>
        <v>150</v>
      </c>
      <c r="M409" s="24">
        <v>400</v>
      </c>
      <c r="N409" s="24">
        <v>20</v>
      </c>
      <c r="O409" s="24">
        <f t="shared" ca="1" si="88"/>
        <v>666</v>
      </c>
      <c r="P409" s="24">
        <v>427</v>
      </c>
      <c r="Q409" s="11">
        <f t="shared" ca="1" si="89"/>
        <v>150</v>
      </c>
      <c r="R409" s="24">
        <v>200</v>
      </c>
      <c r="S409" s="24">
        <v>10</v>
      </c>
      <c r="T409" s="24">
        <f t="shared" ca="1" si="90"/>
        <v>787</v>
      </c>
    </row>
    <row r="410" spans="1:20" x14ac:dyDescent="0.45">
      <c r="A410" s="11">
        <v>397</v>
      </c>
      <c r="B410" s="11">
        <f t="shared" ca="1" si="78"/>
        <v>6.6645740921955299E-2</v>
      </c>
      <c r="C410" s="11">
        <f t="shared" ca="1" si="79"/>
        <v>1000</v>
      </c>
      <c r="D410" s="11">
        <f t="shared" ca="1" si="80"/>
        <v>0.59102683269740253</v>
      </c>
      <c r="E410" s="11">
        <f t="shared" ca="1" si="81"/>
        <v>1300</v>
      </c>
      <c r="F410" s="11">
        <f t="shared" ca="1" si="82"/>
        <v>0.70398563281867821</v>
      </c>
      <c r="G410" s="11">
        <f t="shared" ca="1" si="83"/>
        <v>1500</v>
      </c>
      <c r="H410" s="11">
        <f t="shared" ca="1" si="84"/>
        <v>1000</v>
      </c>
      <c r="I410" s="11">
        <f t="shared" ca="1" si="85"/>
        <v>0.65149538450443667</v>
      </c>
      <c r="J410" s="11">
        <f t="shared" ca="1" si="86"/>
        <v>10</v>
      </c>
      <c r="K410" s="24">
        <v>96</v>
      </c>
      <c r="L410" s="24">
        <f t="shared" ca="1" si="87"/>
        <v>100</v>
      </c>
      <c r="M410" s="24">
        <v>400</v>
      </c>
      <c r="N410" s="24">
        <v>20</v>
      </c>
      <c r="O410" s="24">
        <f t="shared" ca="1" si="88"/>
        <v>616</v>
      </c>
      <c r="P410" s="24">
        <v>428</v>
      </c>
      <c r="Q410" s="11">
        <f t="shared" ca="1" si="89"/>
        <v>100</v>
      </c>
      <c r="R410" s="24">
        <v>200</v>
      </c>
      <c r="S410" s="24">
        <v>10</v>
      </c>
      <c r="T410" s="24">
        <f t="shared" ca="1" si="90"/>
        <v>738</v>
      </c>
    </row>
    <row r="411" spans="1:20" x14ac:dyDescent="0.45">
      <c r="A411" s="11">
        <v>398</v>
      </c>
      <c r="B411" s="11">
        <f t="shared" ca="1" si="78"/>
        <v>0.52970214708150376</v>
      </c>
      <c r="C411" s="11">
        <f t="shared" ca="1" si="79"/>
        <v>1300</v>
      </c>
      <c r="D411" s="11">
        <f t="shared" ca="1" si="80"/>
        <v>0.25316023516892305</v>
      </c>
      <c r="E411" s="11">
        <f t="shared" ca="1" si="81"/>
        <v>1200</v>
      </c>
      <c r="F411" s="11">
        <f t="shared" ca="1" si="82"/>
        <v>0.40589656653891815</v>
      </c>
      <c r="G411" s="11">
        <f t="shared" ca="1" si="83"/>
        <v>1200</v>
      </c>
      <c r="H411" s="11">
        <f t="shared" ca="1" si="84"/>
        <v>1200</v>
      </c>
      <c r="I411" s="11">
        <f t="shared" ca="1" si="85"/>
        <v>0.57913585758881747</v>
      </c>
      <c r="J411" s="11">
        <f t="shared" ca="1" si="86"/>
        <v>5</v>
      </c>
      <c r="K411" s="24">
        <v>96</v>
      </c>
      <c r="L411" s="24">
        <f t="shared" ca="1" si="87"/>
        <v>50</v>
      </c>
      <c r="M411" s="24">
        <v>400</v>
      </c>
      <c r="N411" s="24">
        <v>20</v>
      </c>
      <c r="O411" s="24">
        <f t="shared" ca="1" si="88"/>
        <v>566</v>
      </c>
      <c r="P411" s="24">
        <v>429</v>
      </c>
      <c r="Q411" s="11">
        <f t="shared" ca="1" si="89"/>
        <v>50</v>
      </c>
      <c r="R411" s="24">
        <v>200</v>
      </c>
      <c r="S411" s="24">
        <v>10</v>
      </c>
      <c r="T411" s="24">
        <f t="shared" ca="1" si="90"/>
        <v>689</v>
      </c>
    </row>
    <row r="412" spans="1:20" x14ac:dyDescent="0.45">
      <c r="A412" s="11">
        <v>399</v>
      </c>
      <c r="B412" s="11">
        <f t="shared" ca="1" si="78"/>
        <v>0.3416234876278218</v>
      </c>
      <c r="C412" s="11">
        <f t="shared" ca="1" si="79"/>
        <v>1200</v>
      </c>
      <c r="D412" s="11">
        <f t="shared" ca="1" si="80"/>
        <v>0.43178170580468689</v>
      </c>
      <c r="E412" s="11">
        <f t="shared" ca="1" si="81"/>
        <v>1200</v>
      </c>
      <c r="F412" s="11">
        <f t="shared" ca="1" si="82"/>
        <v>0.84821619602839893</v>
      </c>
      <c r="G412" s="11">
        <f t="shared" ca="1" si="83"/>
        <v>1700</v>
      </c>
      <c r="H412" s="11">
        <f t="shared" ca="1" si="84"/>
        <v>1200</v>
      </c>
      <c r="I412" s="11">
        <f t="shared" ca="1" si="85"/>
        <v>0.25399116502247832</v>
      </c>
      <c r="J412" s="11">
        <f t="shared" ca="1" si="86"/>
        <v>5</v>
      </c>
      <c r="K412" s="24">
        <v>96</v>
      </c>
      <c r="L412" s="24">
        <f t="shared" ca="1" si="87"/>
        <v>50</v>
      </c>
      <c r="M412" s="24">
        <v>400</v>
      </c>
      <c r="N412" s="24">
        <v>20</v>
      </c>
      <c r="O412" s="24">
        <f t="shared" ca="1" si="88"/>
        <v>566</v>
      </c>
      <c r="P412" s="24">
        <v>430</v>
      </c>
      <c r="Q412" s="11">
        <f t="shared" ca="1" si="89"/>
        <v>50</v>
      </c>
      <c r="R412" s="24">
        <v>200</v>
      </c>
      <c r="S412" s="24">
        <v>10</v>
      </c>
      <c r="T412" s="24">
        <f t="shared" ca="1" si="90"/>
        <v>690</v>
      </c>
    </row>
    <row r="413" spans="1:20" x14ac:dyDescent="0.45">
      <c r="A413" s="11">
        <v>400</v>
      </c>
      <c r="B413" s="11">
        <f t="shared" ca="1" si="78"/>
        <v>0.23261731632921956</v>
      </c>
      <c r="C413" s="11">
        <f t="shared" ca="1" si="79"/>
        <v>1200</v>
      </c>
      <c r="D413" s="11">
        <f t="shared" ca="1" si="80"/>
        <v>0.94844394368141693</v>
      </c>
      <c r="E413" s="11">
        <f t="shared" ca="1" si="81"/>
        <v>1800</v>
      </c>
      <c r="F413" s="11">
        <f t="shared" ca="1" si="82"/>
        <v>0.89471875247703891</v>
      </c>
      <c r="G413" s="11">
        <f t="shared" ca="1" si="83"/>
        <v>1700</v>
      </c>
      <c r="H413" s="11">
        <f t="shared" ca="1" si="84"/>
        <v>1200</v>
      </c>
      <c r="I413" s="11">
        <f t="shared" ca="1" si="85"/>
        <v>0.12330826087220803</v>
      </c>
      <c r="J413" s="11">
        <f t="shared" ca="1" si="86"/>
        <v>5</v>
      </c>
      <c r="K413" s="24">
        <v>96</v>
      </c>
      <c r="L413" s="24">
        <f t="shared" ca="1" si="87"/>
        <v>50</v>
      </c>
      <c r="M413" s="24">
        <v>400</v>
      </c>
      <c r="N413" s="24">
        <v>20</v>
      </c>
      <c r="O413" s="24">
        <f t="shared" ca="1" si="88"/>
        <v>566</v>
      </c>
      <c r="P413" s="24">
        <v>431</v>
      </c>
      <c r="Q413" s="11">
        <f t="shared" ca="1" si="89"/>
        <v>50</v>
      </c>
      <c r="R413" s="24">
        <v>200</v>
      </c>
      <c r="S413" s="24">
        <v>10</v>
      </c>
      <c r="T413" s="24">
        <f t="shared" ca="1" si="90"/>
        <v>691</v>
      </c>
    </row>
    <row r="414" spans="1:20" x14ac:dyDescent="0.45">
      <c r="A414" s="11">
        <v>401</v>
      </c>
      <c r="B414" s="11">
        <f t="shared" ca="1" si="78"/>
        <v>0.33528726699826572</v>
      </c>
      <c r="C414" s="11">
        <f t="shared" ca="1" si="79"/>
        <v>1200</v>
      </c>
      <c r="D414" s="11">
        <f t="shared" ca="1" si="80"/>
        <v>0.34247915434962839</v>
      </c>
      <c r="E414" s="11">
        <f t="shared" ca="1" si="81"/>
        <v>1200</v>
      </c>
      <c r="F414" s="11">
        <f t="shared" ca="1" si="82"/>
        <v>7.8994054170276051E-2</v>
      </c>
      <c r="G414" s="11">
        <f t="shared" ca="1" si="83"/>
        <v>1000</v>
      </c>
      <c r="H414" s="11">
        <f t="shared" ca="1" si="84"/>
        <v>1000</v>
      </c>
      <c r="I414" s="11">
        <f t="shared" ca="1" si="85"/>
        <v>0.31874193852314092</v>
      </c>
      <c r="J414" s="11">
        <f t="shared" ca="1" si="86"/>
        <v>5</v>
      </c>
      <c r="K414" s="24">
        <v>96</v>
      </c>
      <c r="L414" s="24">
        <f t="shared" ca="1" si="87"/>
        <v>50</v>
      </c>
      <c r="M414" s="24">
        <v>400</v>
      </c>
      <c r="N414" s="24">
        <v>20</v>
      </c>
      <c r="O414" s="24">
        <f t="shared" ca="1" si="88"/>
        <v>566</v>
      </c>
      <c r="P414" s="24">
        <v>432</v>
      </c>
      <c r="Q414" s="11">
        <f t="shared" ca="1" si="89"/>
        <v>50</v>
      </c>
      <c r="R414" s="24">
        <v>200</v>
      </c>
      <c r="S414" s="24">
        <v>10</v>
      </c>
      <c r="T414" s="24">
        <f t="shared" ca="1" si="90"/>
        <v>692</v>
      </c>
    </row>
    <row r="415" spans="1:20" x14ac:dyDescent="0.45">
      <c r="A415" s="11">
        <v>402</v>
      </c>
      <c r="B415" s="11">
        <f t="shared" ca="1" si="78"/>
        <v>0.14833261117486207</v>
      </c>
      <c r="C415" s="11">
        <f t="shared" ca="1" si="79"/>
        <v>1100</v>
      </c>
      <c r="D415" s="11">
        <f t="shared" ca="1" si="80"/>
        <v>0.27633088622544644</v>
      </c>
      <c r="E415" s="11">
        <f t="shared" ca="1" si="81"/>
        <v>1200</v>
      </c>
      <c r="F415" s="11">
        <f t="shared" ca="1" si="82"/>
        <v>0.75469675114395274</v>
      </c>
      <c r="G415" s="11">
        <f t="shared" ca="1" si="83"/>
        <v>1500</v>
      </c>
      <c r="H415" s="11">
        <f t="shared" ca="1" si="84"/>
        <v>1100</v>
      </c>
      <c r="I415" s="11">
        <f t="shared" ca="1" si="85"/>
        <v>0.10539533078194807</v>
      </c>
      <c r="J415" s="11">
        <f t="shared" ca="1" si="86"/>
        <v>5</v>
      </c>
      <c r="K415" s="24">
        <v>96</v>
      </c>
      <c r="L415" s="24">
        <f t="shared" ca="1" si="87"/>
        <v>50</v>
      </c>
      <c r="M415" s="24">
        <v>400</v>
      </c>
      <c r="N415" s="24">
        <v>20</v>
      </c>
      <c r="O415" s="24">
        <f t="shared" ca="1" si="88"/>
        <v>566</v>
      </c>
      <c r="P415" s="24">
        <v>433</v>
      </c>
      <c r="Q415" s="11">
        <f t="shared" ca="1" si="89"/>
        <v>50</v>
      </c>
      <c r="R415" s="24">
        <v>200</v>
      </c>
      <c r="S415" s="24">
        <v>10</v>
      </c>
      <c r="T415" s="24">
        <f t="shared" ca="1" si="90"/>
        <v>693</v>
      </c>
    </row>
    <row r="416" spans="1:20" x14ac:dyDescent="0.45">
      <c r="A416" s="11">
        <v>403</v>
      </c>
      <c r="B416" s="11">
        <f t="shared" ca="1" si="78"/>
        <v>0.65601895788313314</v>
      </c>
      <c r="C416" s="11">
        <f t="shared" ca="1" si="79"/>
        <v>1400</v>
      </c>
      <c r="D416" s="11">
        <f t="shared" ca="1" si="80"/>
        <v>0.21321810557038978</v>
      </c>
      <c r="E416" s="11">
        <f t="shared" ca="1" si="81"/>
        <v>1100</v>
      </c>
      <c r="F416" s="11">
        <f t="shared" ca="1" si="82"/>
        <v>4.5238610943981739E-3</v>
      </c>
      <c r="G416" s="11">
        <f t="shared" ca="1" si="83"/>
        <v>1000</v>
      </c>
      <c r="H416" s="11">
        <f t="shared" ca="1" si="84"/>
        <v>1000</v>
      </c>
      <c r="I416" s="11">
        <f t="shared" ca="1" si="85"/>
        <v>0.82852516770988105</v>
      </c>
      <c r="J416" s="11">
        <f t="shared" ca="1" si="86"/>
        <v>10</v>
      </c>
      <c r="K416" s="24">
        <v>96</v>
      </c>
      <c r="L416" s="24">
        <f t="shared" ca="1" si="87"/>
        <v>100</v>
      </c>
      <c r="M416" s="24">
        <v>400</v>
      </c>
      <c r="N416" s="24">
        <v>20</v>
      </c>
      <c r="O416" s="24">
        <f t="shared" ca="1" si="88"/>
        <v>616</v>
      </c>
      <c r="P416" s="24">
        <v>434</v>
      </c>
      <c r="Q416" s="11">
        <f t="shared" ca="1" si="89"/>
        <v>100</v>
      </c>
      <c r="R416" s="24">
        <v>200</v>
      </c>
      <c r="S416" s="24">
        <v>10</v>
      </c>
      <c r="T416" s="24">
        <f t="shared" ca="1" si="90"/>
        <v>744</v>
      </c>
    </row>
    <row r="417" spans="1:20" x14ac:dyDescent="0.45">
      <c r="A417" s="11">
        <v>404</v>
      </c>
      <c r="B417" s="11">
        <f t="shared" ca="1" si="78"/>
        <v>0.50665115980088338</v>
      </c>
      <c r="C417" s="11">
        <f t="shared" ca="1" si="79"/>
        <v>1300</v>
      </c>
      <c r="D417" s="11">
        <f t="shared" ca="1" si="80"/>
        <v>0.98944441484327028</v>
      </c>
      <c r="E417" s="11">
        <f t="shared" ca="1" si="81"/>
        <v>1900</v>
      </c>
      <c r="F417" s="11">
        <f t="shared" ca="1" si="82"/>
        <v>0.19432679074115189</v>
      </c>
      <c r="G417" s="11">
        <f t="shared" ca="1" si="83"/>
        <v>1100</v>
      </c>
      <c r="H417" s="11">
        <f t="shared" ca="1" si="84"/>
        <v>1100</v>
      </c>
      <c r="I417" s="11">
        <f t="shared" ca="1" si="85"/>
        <v>0.52607414439136979</v>
      </c>
      <c r="J417" s="11">
        <f t="shared" ca="1" si="86"/>
        <v>5</v>
      </c>
      <c r="K417" s="24">
        <v>96</v>
      </c>
      <c r="L417" s="24">
        <f t="shared" ca="1" si="87"/>
        <v>50</v>
      </c>
      <c r="M417" s="24">
        <v>400</v>
      </c>
      <c r="N417" s="24">
        <v>20</v>
      </c>
      <c r="O417" s="24">
        <f t="shared" ca="1" si="88"/>
        <v>566</v>
      </c>
      <c r="P417" s="24">
        <v>435</v>
      </c>
      <c r="Q417" s="11">
        <f t="shared" ca="1" si="89"/>
        <v>50</v>
      </c>
      <c r="R417" s="24">
        <v>200</v>
      </c>
      <c r="S417" s="24">
        <v>10</v>
      </c>
      <c r="T417" s="24">
        <f t="shared" ca="1" si="90"/>
        <v>695</v>
      </c>
    </row>
    <row r="418" spans="1:20" x14ac:dyDescent="0.45">
      <c r="A418" s="11">
        <v>405</v>
      </c>
      <c r="B418" s="11">
        <f t="shared" ca="1" si="78"/>
        <v>0.51043054773013852</v>
      </c>
      <c r="C418" s="11">
        <f t="shared" ca="1" si="79"/>
        <v>1300</v>
      </c>
      <c r="D418" s="11">
        <f t="shared" ca="1" si="80"/>
        <v>0.933040816108477</v>
      </c>
      <c r="E418" s="11">
        <f t="shared" ca="1" si="81"/>
        <v>1800</v>
      </c>
      <c r="F418" s="11">
        <f t="shared" ca="1" si="82"/>
        <v>0.19886567471781158</v>
      </c>
      <c r="G418" s="11">
        <f t="shared" ca="1" si="83"/>
        <v>1100</v>
      </c>
      <c r="H418" s="11">
        <f t="shared" ca="1" si="84"/>
        <v>1100</v>
      </c>
      <c r="I418" s="11">
        <f t="shared" ca="1" si="85"/>
        <v>0.73193406127958127</v>
      </c>
      <c r="J418" s="11">
        <f t="shared" ca="1" si="86"/>
        <v>10</v>
      </c>
      <c r="K418" s="24">
        <v>96</v>
      </c>
      <c r="L418" s="24">
        <f t="shared" ca="1" si="87"/>
        <v>100</v>
      </c>
      <c r="M418" s="24">
        <v>400</v>
      </c>
      <c r="N418" s="24">
        <v>20</v>
      </c>
      <c r="O418" s="24">
        <f t="shared" ca="1" si="88"/>
        <v>616</v>
      </c>
      <c r="P418" s="24">
        <v>436</v>
      </c>
      <c r="Q418" s="11">
        <f t="shared" ca="1" si="89"/>
        <v>100</v>
      </c>
      <c r="R418" s="24">
        <v>200</v>
      </c>
      <c r="S418" s="24">
        <v>10</v>
      </c>
      <c r="T418" s="24">
        <f t="shared" ca="1" si="90"/>
        <v>746</v>
      </c>
    </row>
    <row r="419" spans="1:20" x14ac:dyDescent="0.45">
      <c r="A419" s="11">
        <v>406</v>
      </c>
      <c r="B419" s="11">
        <f t="shared" ca="1" si="78"/>
        <v>0.29813042441172355</v>
      </c>
      <c r="C419" s="11">
        <f t="shared" ca="1" si="79"/>
        <v>1200</v>
      </c>
      <c r="D419" s="11">
        <f t="shared" ca="1" si="80"/>
        <v>0.36952653730357399</v>
      </c>
      <c r="E419" s="11">
        <f t="shared" ca="1" si="81"/>
        <v>1200</v>
      </c>
      <c r="F419" s="11">
        <f t="shared" ca="1" si="82"/>
        <v>0.81584449520869495</v>
      </c>
      <c r="G419" s="11">
        <f t="shared" ca="1" si="83"/>
        <v>1500</v>
      </c>
      <c r="H419" s="11">
        <f t="shared" ca="1" si="84"/>
        <v>1200</v>
      </c>
      <c r="I419" s="11">
        <f t="shared" ca="1" si="85"/>
        <v>0.96709469618999611</v>
      </c>
      <c r="J419" s="11">
        <f t="shared" ca="1" si="86"/>
        <v>15</v>
      </c>
      <c r="K419" s="24">
        <v>96</v>
      </c>
      <c r="L419" s="24">
        <f t="shared" ca="1" si="87"/>
        <v>150</v>
      </c>
      <c r="M419" s="24">
        <v>400</v>
      </c>
      <c r="N419" s="24">
        <v>20</v>
      </c>
      <c r="O419" s="24">
        <f t="shared" ca="1" si="88"/>
        <v>666</v>
      </c>
      <c r="P419" s="24">
        <v>437</v>
      </c>
      <c r="Q419" s="11">
        <f t="shared" ca="1" si="89"/>
        <v>150</v>
      </c>
      <c r="R419" s="24">
        <v>200</v>
      </c>
      <c r="S419" s="24">
        <v>10</v>
      </c>
      <c r="T419" s="24">
        <f t="shared" ca="1" si="90"/>
        <v>797</v>
      </c>
    </row>
    <row r="420" spans="1:20" x14ac:dyDescent="0.45">
      <c r="A420" s="11">
        <v>407</v>
      </c>
      <c r="B420" s="11">
        <f t="shared" ca="1" si="78"/>
        <v>0.73540099289146732</v>
      </c>
      <c r="C420" s="11">
        <f t="shared" ca="1" si="79"/>
        <v>1500</v>
      </c>
      <c r="D420" s="11">
        <f t="shared" ca="1" si="80"/>
        <v>0.12054009284527856</v>
      </c>
      <c r="E420" s="11">
        <f t="shared" ca="1" si="81"/>
        <v>1100</v>
      </c>
      <c r="F420" s="11">
        <f t="shared" ca="1" si="82"/>
        <v>0.82518507684632458</v>
      </c>
      <c r="G420" s="11">
        <f t="shared" ca="1" si="83"/>
        <v>1600</v>
      </c>
      <c r="H420" s="11">
        <f t="shared" ca="1" si="84"/>
        <v>1100</v>
      </c>
      <c r="I420" s="11">
        <f t="shared" ca="1" si="85"/>
        <v>0.97923174074538255</v>
      </c>
      <c r="J420" s="11">
        <f t="shared" ca="1" si="86"/>
        <v>15</v>
      </c>
      <c r="K420" s="24">
        <v>96</v>
      </c>
      <c r="L420" s="24">
        <f t="shared" ca="1" si="87"/>
        <v>150</v>
      </c>
      <c r="M420" s="24">
        <v>400</v>
      </c>
      <c r="N420" s="24">
        <v>20</v>
      </c>
      <c r="O420" s="24">
        <f t="shared" ca="1" si="88"/>
        <v>666</v>
      </c>
      <c r="P420" s="24">
        <v>438</v>
      </c>
      <c r="Q420" s="11">
        <f t="shared" ca="1" si="89"/>
        <v>150</v>
      </c>
      <c r="R420" s="24">
        <v>200</v>
      </c>
      <c r="S420" s="24">
        <v>10</v>
      </c>
      <c r="T420" s="24">
        <f t="shared" ca="1" si="90"/>
        <v>798</v>
      </c>
    </row>
    <row r="421" spans="1:20" x14ac:dyDescent="0.45">
      <c r="A421" s="11">
        <v>408</v>
      </c>
      <c r="B421" s="11">
        <f t="shared" ca="1" si="78"/>
        <v>0.48631123765423578</v>
      </c>
      <c r="C421" s="11">
        <f t="shared" ca="1" si="79"/>
        <v>1300</v>
      </c>
      <c r="D421" s="11">
        <f t="shared" ca="1" si="80"/>
        <v>0.94983346303551275</v>
      </c>
      <c r="E421" s="11">
        <f t="shared" ca="1" si="81"/>
        <v>1800</v>
      </c>
      <c r="F421" s="11">
        <f t="shared" ca="1" si="82"/>
        <v>0.37267890637210577</v>
      </c>
      <c r="G421" s="11">
        <f t="shared" ca="1" si="83"/>
        <v>1200</v>
      </c>
      <c r="H421" s="11">
        <f t="shared" ca="1" si="84"/>
        <v>1200</v>
      </c>
      <c r="I421" s="11">
        <f t="shared" ca="1" si="85"/>
        <v>0.63978852794737107</v>
      </c>
      <c r="J421" s="11">
        <f t="shared" ca="1" si="86"/>
        <v>10</v>
      </c>
      <c r="K421" s="24">
        <v>96</v>
      </c>
      <c r="L421" s="24">
        <f t="shared" ca="1" si="87"/>
        <v>100</v>
      </c>
      <c r="M421" s="24">
        <v>400</v>
      </c>
      <c r="N421" s="24">
        <v>20</v>
      </c>
      <c r="O421" s="24">
        <f t="shared" ca="1" si="88"/>
        <v>616</v>
      </c>
      <c r="P421" s="24">
        <v>439</v>
      </c>
      <c r="Q421" s="11">
        <f t="shared" ca="1" si="89"/>
        <v>100</v>
      </c>
      <c r="R421" s="24">
        <v>200</v>
      </c>
      <c r="S421" s="24">
        <v>10</v>
      </c>
      <c r="T421" s="24">
        <f t="shared" ca="1" si="90"/>
        <v>749</v>
      </c>
    </row>
    <row r="422" spans="1:20" x14ac:dyDescent="0.45">
      <c r="A422" s="11">
        <v>409</v>
      </c>
      <c r="B422" s="11">
        <f t="shared" ca="1" si="78"/>
        <v>0.56397912357558622</v>
      </c>
      <c r="C422" s="11">
        <f t="shared" ca="1" si="79"/>
        <v>1300</v>
      </c>
      <c r="D422" s="11">
        <f t="shared" ca="1" si="80"/>
        <v>0.54840381538850358</v>
      </c>
      <c r="E422" s="11">
        <f t="shared" ca="1" si="81"/>
        <v>1300</v>
      </c>
      <c r="F422" s="11">
        <f t="shared" ca="1" si="82"/>
        <v>0.53050828721192844</v>
      </c>
      <c r="G422" s="11">
        <f t="shared" ca="1" si="83"/>
        <v>1300</v>
      </c>
      <c r="H422" s="11">
        <f t="shared" ca="1" si="84"/>
        <v>1300</v>
      </c>
      <c r="I422" s="11">
        <f t="shared" ca="1" si="85"/>
        <v>0.77998114171666411</v>
      </c>
      <c r="J422" s="11">
        <f t="shared" ca="1" si="86"/>
        <v>10</v>
      </c>
      <c r="K422" s="24">
        <v>96</v>
      </c>
      <c r="L422" s="24">
        <f t="shared" ca="1" si="87"/>
        <v>100</v>
      </c>
      <c r="M422" s="24">
        <v>400</v>
      </c>
      <c r="N422" s="24">
        <v>20</v>
      </c>
      <c r="O422" s="24">
        <f t="shared" ca="1" si="88"/>
        <v>616</v>
      </c>
      <c r="P422" s="24">
        <v>440</v>
      </c>
      <c r="Q422" s="11">
        <f t="shared" ca="1" si="89"/>
        <v>100</v>
      </c>
      <c r="R422" s="24">
        <v>200</v>
      </c>
      <c r="S422" s="24">
        <v>10</v>
      </c>
      <c r="T422" s="24">
        <f t="shared" ca="1" si="90"/>
        <v>750</v>
      </c>
    </row>
    <row r="423" spans="1:20" x14ac:dyDescent="0.45">
      <c r="A423" s="11">
        <v>410</v>
      </c>
      <c r="B423" s="11">
        <f t="shared" ca="1" si="78"/>
        <v>0.51549753588267067</v>
      </c>
      <c r="C423" s="11">
        <f t="shared" ca="1" si="79"/>
        <v>1300</v>
      </c>
      <c r="D423" s="11">
        <f t="shared" ca="1" si="80"/>
        <v>0.9869226174278799</v>
      </c>
      <c r="E423" s="11">
        <f t="shared" ca="1" si="81"/>
        <v>1900</v>
      </c>
      <c r="F423" s="11">
        <f t="shared" ca="1" si="82"/>
        <v>0.95587615124196224</v>
      </c>
      <c r="G423" s="11">
        <f t="shared" ca="1" si="83"/>
        <v>1900</v>
      </c>
      <c r="H423" s="11">
        <f t="shared" ca="1" si="84"/>
        <v>1300</v>
      </c>
      <c r="I423" s="11">
        <f t="shared" ca="1" si="85"/>
        <v>0.35458091547413007</v>
      </c>
      <c r="J423" s="11">
        <f t="shared" ca="1" si="86"/>
        <v>5</v>
      </c>
      <c r="K423" s="24">
        <v>96</v>
      </c>
      <c r="L423" s="24">
        <f t="shared" ca="1" si="87"/>
        <v>50</v>
      </c>
      <c r="M423" s="24">
        <v>400</v>
      </c>
      <c r="N423" s="24">
        <v>20</v>
      </c>
      <c r="O423" s="24">
        <f t="shared" ca="1" si="88"/>
        <v>566</v>
      </c>
      <c r="P423" s="24">
        <v>441</v>
      </c>
      <c r="Q423" s="11">
        <f t="shared" ca="1" si="89"/>
        <v>50</v>
      </c>
      <c r="R423" s="24">
        <v>200</v>
      </c>
      <c r="S423" s="24">
        <v>10</v>
      </c>
      <c r="T423" s="24">
        <f t="shared" ca="1" si="90"/>
        <v>701</v>
      </c>
    </row>
    <row r="424" spans="1:20" x14ac:dyDescent="0.45">
      <c r="A424" s="11">
        <v>411</v>
      </c>
      <c r="B424" s="11">
        <f t="shared" ca="1" si="78"/>
        <v>0.14547909221063959</v>
      </c>
      <c r="C424" s="11">
        <f t="shared" ca="1" si="79"/>
        <v>1100</v>
      </c>
      <c r="D424" s="11">
        <f t="shared" ca="1" si="80"/>
        <v>0.70953957485104513</v>
      </c>
      <c r="E424" s="11">
        <f t="shared" ca="1" si="81"/>
        <v>1500</v>
      </c>
      <c r="F424" s="11">
        <f t="shared" ca="1" si="82"/>
        <v>0.37702843722392976</v>
      </c>
      <c r="G424" s="11">
        <f t="shared" ca="1" si="83"/>
        <v>1200</v>
      </c>
      <c r="H424" s="11">
        <f t="shared" ca="1" si="84"/>
        <v>1100</v>
      </c>
      <c r="I424" s="11">
        <f t="shared" ca="1" si="85"/>
        <v>0.60490638798658491</v>
      </c>
      <c r="J424" s="11">
        <f t="shared" ca="1" si="86"/>
        <v>10</v>
      </c>
      <c r="K424" s="24">
        <v>96</v>
      </c>
      <c r="L424" s="24">
        <f t="shared" ca="1" si="87"/>
        <v>100</v>
      </c>
      <c r="M424" s="24">
        <v>400</v>
      </c>
      <c r="N424" s="24">
        <v>20</v>
      </c>
      <c r="O424" s="24">
        <f t="shared" ca="1" si="88"/>
        <v>616</v>
      </c>
      <c r="P424" s="24">
        <v>442</v>
      </c>
      <c r="Q424" s="11">
        <f t="shared" ca="1" si="89"/>
        <v>100</v>
      </c>
      <c r="R424" s="24">
        <v>200</v>
      </c>
      <c r="S424" s="24">
        <v>10</v>
      </c>
      <c r="T424" s="24">
        <f t="shared" ca="1" si="90"/>
        <v>752</v>
      </c>
    </row>
    <row r="425" spans="1:20" x14ac:dyDescent="0.45">
      <c r="A425" s="11">
        <v>412</v>
      </c>
      <c r="B425" s="11">
        <f t="shared" ca="1" si="78"/>
        <v>0.38030250173955793</v>
      </c>
      <c r="C425" s="11">
        <f t="shared" ca="1" si="79"/>
        <v>1200</v>
      </c>
      <c r="D425" s="11">
        <f t="shared" ca="1" si="80"/>
        <v>0.93019678023598751</v>
      </c>
      <c r="E425" s="11">
        <f t="shared" ca="1" si="81"/>
        <v>1800</v>
      </c>
      <c r="F425" s="11">
        <f t="shared" ca="1" si="82"/>
        <v>0.73805180486306965</v>
      </c>
      <c r="G425" s="11">
        <f t="shared" ca="1" si="83"/>
        <v>1500</v>
      </c>
      <c r="H425" s="11">
        <f t="shared" ca="1" si="84"/>
        <v>1200</v>
      </c>
      <c r="I425" s="11">
        <f t="shared" ca="1" si="85"/>
        <v>0.70836841604821044</v>
      </c>
      <c r="J425" s="11">
        <f t="shared" ca="1" si="86"/>
        <v>10</v>
      </c>
      <c r="K425" s="24">
        <v>96</v>
      </c>
      <c r="L425" s="24">
        <f t="shared" ca="1" si="87"/>
        <v>100</v>
      </c>
      <c r="M425" s="24">
        <v>400</v>
      </c>
      <c r="N425" s="24">
        <v>20</v>
      </c>
      <c r="O425" s="24">
        <f t="shared" ca="1" si="88"/>
        <v>616</v>
      </c>
      <c r="P425" s="24">
        <v>443</v>
      </c>
      <c r="Q425" s="11">
        <f t="shared" ca="1" si="89"/>
        <v>100</v>
      </c>
      <c r="R425" s="24">
        <v>200</v>
      </c>
      <c r="S425" s="24">
        <v>10</v>
      </c>
      <c r="T425" s="24">
        <f t="shared" ca="1" si="90"/>
        <v>753</v>
      </c>
    </row>
    <row r="426" spans="1:20" x14ac:dyDescent="0.45">
      <c r="A426" s="11">
        <v>413</v>
      </c>
      <c r="B426" s="11">
        <f t="shared" ca="1" si="78"/>
        <v>0.30822655239476093</v>
      </c>
      <c r="C426" s="11">
        <f t="shared" ca="1" si="79"/>
        <v>1200</v>
      </c>
      <c r="D426" s="11">
        <f t="shared" ca="1" si="80"/>
        <v>0.88343466869943232</v>
      </c>
      <c r="E426" s="11">
        <f t="shared" ca="1" si="81"/>
        <v>1700</v>
      </c>
      <c r="F426" s="11">
        <f t="shared" ca="1" si="82"/>
        <v>0.10451043616402755</v>
      </c>
      <c r="G426" s="11">
        <f t="shared" ca="1" si="83"/>
        <v>1100</v>
      </c>
      <c r="H426" s="11">
        <f t="shared" ca="1" si="84"/>
        <v>1100</v>
      </c>
      <c r="I426" s="11">
        <f t="shared" ca="1" si="85"/>
        <v>0.79260246850367755</v>
      </c>
      <c r="J426" s="11">
        <f t="shared" ca="1" si="86"/>
        <v>10</v>
      </c>
      <c r="K426" s="24">
        <v>96</v>
      </c>
      <c r="L426" s="24">
        <f t="shared" ca="1" si="87"/>
        <v>100</v>
      </c>
      <c r="M426" s="24">
        <v>400</v>
      </c>
      <c r="N426" s="24">
        <v>20</v>
      </c>
      <c r="O426" s="24">
        <f t="shared" ca="1" si="88"/>
        <v>616</v>
      </c>
      <c r="P426" s="24">
        <v>444</v>
      </c>
      <c r="Q426" s="11">
        <f t="shared" ca="1" si="89"/>
        <v>100</v>
      </c>
      <c r="R426" s="24">
        <v>200</v>
      </c>
      <c r="S426" s="24">
        <v>10</v>
      </c>
      <c r="T426" s="24">
        <f t="shared" ca="1" si="90"/>
        <v>754</v>
      </c>
    </row>
    <row r="427" spans="1:20" x14ac:dyDescent="0.45">
      <c r="A427" s="11">
        <v>414</v>
      </c>
      <c r="B427" s="11">
        <f t="shared" ca="1" si="78"/>
        <v>0.44595678745884892</v>
      </c>
      <c r="C427" s="11">
        <f t="shared" ca="1" si="79"/>
        <v>1200</v>
      </c>
      <c r="D427" s="11">
        <f t="shared" ca="1" si="80"/>
        <v>0.18915733147263325</v>
      </c>
      <c r="E427" s="11">
        <f t="shared" ca="1" si="81"/>
        <v>1100</v>
      </c>
      <c r="F427" s="11">
        <f t="shared" ca="1" si="82"/>
        <v>0.32138824412769995</v>
      </c>
      <c r="G427" s="11">
        <f t="shared" ca="1" si="83"/>
        <v>1200</v>
      </c>
      <c r="H427" s="11">
        <f t="shared" ca="1" si="84"/>
        <v>1100</v>
      </c>
      <c r="I427" s="11">
        <f t="shared" ca="1" si="85"/>
        <v>0.23797013485298379</v>
      </c>
      <c r="J427" s="11">
        <f t="shared" ca="1" si="86"/>
        <v>5</v>
      </c>
      <c r="K427" s="24">
        <v>96</v>
      </c>
      <c r="L427" s="24">
        <f t="shared" ca="1" si="87"/>
        <v>50</v>
      </c>
      <c r="M427" s="24">
        <v>400</v>
      </c>
      <c r="N427" s="24">
        <v>20</v>
      </c>
      <c r="O427" s="24">
        <f t="shared" ca="1" si="88"/>
        <v>566</v>
      </c>
      <c r="P427" s="24">
        <v>445</v>
      </c>
      <c r="Q427" s="11">
        <f t="shared" ca="1" si="89"/>
        <v>50</v>
      </c>
      <c r="R427" s="24">
        <v>200</v>
      </c>
      <c r="S427" s="24">
        <v>10</v>
      </c>
      <c r="T427" s="24">
        <f t="shared" ca="1" si="90"/>
        <v>705</v>
      </c>
    </row>
    <row r="428" spans="1:20" x14ac:dyDescent="0.45">
      <c r="A428" s="11">
        <v>415</v>
      </c>
      <c r="B428" s="11">
        <f t="shared" ca="1" si="78"/>
        <v>0.45172204650108783</v>
      </c>
      <c r="C428" s="11">
        <f t="shared" ca="1" si="79"/>
        <v>1200</v>
      </c>
      <c r="D428" s="11">
        <f t="shared" ca="1" si="80"/>
        <v>0.72050947869031123</v>
      </c>
      <c r="E428" s="11">
        <f t="shared" ca="1" si="81"/>
        <v>1500</v>
      </c>
      <c r="F428" s="11">
        <f t="shared" ca="1" si="82"/>
        <v>0.87917985267783139</v>
      </c>
      <c r="G428" s="11">
        <f t="shared" ca="1" si="83"/>
        <v>1700</v>
      </c>
      <c r="H428" s="11">
        <f t="shared" ca="1" si="84"/>
        <v>1200</v>
      </c>
      <c r="I428" s="11">
        <f t="shared" ca="1" si="85"/>
        <v>3.33487908011465E-3</v>
      </c>
      <c r="J428" s="11">
        <f t="shared" ca="1" si="86"/>
        <v>5</v>
      </c>
      <c r="K428" s="24">
        <v>96</v>
      </c>
      <c r="L428" s="24">
        <f t="shared" ca="1" si="87"/>
        <v>50</v>
      </c>
      <c r="M428" s="24">
        <v>400</v>
      </c>
      <c r="N428" s="24">
        <v>20</v>
      </c>
      <c r="O428" s="24">
        <f t="shared" ca="1" si="88"/>
        <v>566</v>
      </c>
      <c r="P428" s="24">
        <v>446</v>
      </c>
      <c r="Q428" s="11">
        <f t="shared" ca="1" si="89"/>
        <v>50</v>
      </c>
      <c r="R428" s="24">
        <v>200</v>
      </c>
      <c r="S428" s="24">
        <v>10</v>
      </c>
      <c r="T428" s="24">
        <f t="shared" ca="1" si="90"/>
        <v>706</v>
      </c>
    </row>
    <row r="429" spans="1:20" x14ac:dyDescent="0.45">
      <c r="A429" s="11">
        <v>416</v>
      </c>
      <c r="B429" s="11">
        <f t="shared" ca="1" si="78"/>
        <v>0.63359977166782866</v>
      </c>
      <c r="C429" s="11">
        <f t="shared" ca="1" si="79"/>
        <v>1400</v>
      </c>
      <c r="D429" s="11">
        <f t="shared" ca="1" si="80"/>
        <v>0.96188470764243739</v>
      </c>
      <c r="E429" s="11">
        <f t="shared" ca="1" si="81"/>
        <v>1900</v>
      </c>
      <c r="F429" s="11">
        <f t="shared" ca="1" si="82"/>
        <v>0.23974583040132613</v>
      </c>
      <c r="G429" s="11">
        <f t="shared" ca="1" si="83"/>
        <v>1200</v>
      </c>
      <c r="H429" s="11">
        <f t="shared" ca="1" si="84"/>
        <v>1200</v>
      </c>
      <c r="I429" s="11">
        <f t="shared" ca="1" si="85"/>
        <v>0.71546794937275882</v>
      </c>
      <c r="J429" s="11">
        <f t="shared" ca="1" si="86"/>
        <v>10</v>
      </c>
      <c r="K429" s="24">
        <v>96</v>
      </c>
      <c r="L429" s="24">
        <f t="shared" ca="1" si="87"/>
        <v>100</v>
      </c>
      <c r="M429" s="24">
        <v>400</v>
      </c>
      <c r="N429" s="24">
        <v>20</v>
      </c>
      <c r="O429" s="24">
        <f t="shared" ca="1" si="88"/>
        <v>616</v>
      </c>
      <c r="P429" s="24">
        <v>447</v>
      </c>
      <c r="Q429" s="11">
        <f t="shared" ca="1" si="89"/>
        <v>100</v>
      </c>
      <c r="R429" s="24">
        <v>200</v>
      </c>
      <c r="S429" s="24">
        <v>10</v>
      </c>
      <c r="T429" s="24">
        <f t="shared" ca="1" si="90"/>
        <v>757</v>
      </c>
    </row>
    <row r="430" spans="1:20" x14ac:dyDescent="0.45">
      <c r="A430" s="11">
        <v>417</v>
      </c>
      <c r="B430" s="11">
        <f t="shared" ca="1" si="78"/>
        <v>0.82110343064619418</v>
      </c>
      <c r="C430" s="11">
        <f t="shared" ca="1" si="79"/>
        <v>1600</v>
      </c>
      <c r="D430" s="11">
        <f t="shared" ca="1" si="80"/>
        <v>0.5001761745578539</v>
      </c>
      <c r="E430" s="11">
        <f t="shared" ca="1" si="81"/>
        <v>1300</v>
      </c>
      <c r="F430" s="11">
        <f t="shared" ca="1" si="82"/>
        <v>0.2129658388364698</v>
      </c>
      <c r="G430" s="11">
        <f t="shared" ca="1" si="83"/>
        <v>1100</v>
      </c>
      <c r="H430" s="11">
        <f t="shared" ca="1" si="84"/>
        <v>1100</v>
      </c>
      <c r="I430" s="11">
        <f t="shared" ca="1" si="85"/>
        <v>0.28283353863714789</v>
      </c>
      <c r="J430" s="11">
        <f t="shared" ca="1" si="86"/>
        <v>5</v>
      </c>
      <c r="K430" s="24">
        <v>96</v>
      </c>
      <c r="L430" s="24">
        <f t="shared" ca="1" si="87"/>
        <v>50</v>
      </c>
      <c r="M430" s="24">
        <v>400</v>
      </c>
      <c r="N430" s="24">
        <v>20</v>
      </c>
      <c r="O430" s="24">
        <f t="shared" ca="1" si="88"/>
        <v>566</v>
      </c>
      <c r="P430" s="24">
        <v>448</v>
      </c>
      <c r="Q430" s="11">
        <f t="shared" ca="1" si="89"/>
        <v>50</v>
      </c>
      <c r="R430" s="24">
        <v>200</v>
      </c>
      <c r="S430" s="24">
        <v>10</v>
      </c>
      <c r="T430" s="24">
        <f t="shared" ca="1" si="90"/>
        <v>708</v>
      </c>
    </row>
    <row r="431" spans="1:20" x14ac:dyDescent="0.45">
      <c r="A431" s="11">
        <v>418</v>
      </c>
      <c r="B431" s="11">
        <f t="shared" ca="1" si="78"/>
        <v>0.55722811266197203</v>
      </c>
      <c r="C431" s="11">
        <f t="shared" ca="1" si="79"/>
        <v>1300</v>
      </c>
      <c r="D431" s="11">
        <f t="shared" ca="1" si="80"/>
        <v>0.67603522827524754</v>
      </c>
      <c r="E431" s="11">
        <f t="shared" ca="1" si="81"/>
        <v>1400</v>
      </c>
      <c r="F431" s="11">
        <f t="shared" ca="1" si="82"/>
        <v>0.15214280508863476</v>
      </c>
      <c r="G431" s="11">
        <f t="shared" ca="1" si="83"/>
        <v>1100</v>
      </c>
      <c r="H431" s="11">
        <f t="shared" ca="1" si="84"/>
        <v>1100</v>
      </c>
      <c r="I431" s="11">
        <f t="shared" ca="1" si="85"/>
        <v>0.11326115532249292</v>
      </c>
      <c r="J431" s="11">
        <f t="shared" ca="1" si="86"/>
        <v>5</v>
      </c>
      <c r="K431" s="24">
        <v>96</v>
      </c>
      <c r="L431" s="24">
        <f t="shared" ca="1" si="87"/>
        <v>50</v>
      </c>
      <c r="M431" s="24">
        <v>400</v>
      </c>
      <c r="N431" s="24">
        <v>20</v>
      </c>
      <c r="O431" s="24">
        <f t="shared" ca="1" si="88"/>
        <v>566</v>
      </c>
      <c r="P431" s="24">
        <v>449</v>
      </c>
      <c r="Q431" s="11">
        <f t="shared" ca="1" si="89"/>
        <v>50</v>
      </c>
      <c r="R431" s="24">
        <v>200</v>
      </c>
      <c r="S431" s="24">
        <v>10</v>
      </c>
      <c r="T431" s="24">
        <f t="shared" ca="1" si="90"/>
        <v>709</v>
      </c>
    </row>
    <row r="432" spans="1:20" x14ac:dyDescent="0.45">
      <c r="A432" s="11">
        <v>419</v>
      </c>
      <c r="B432" s="11">
        <f t="shared" ca="1" si="78"/>
        <v>0.95275965510500382</v>
      </c>
      <c r="C432" s="11">
        <f t="shared" ca="1" si="79"/>
        <v>1900</v>
      </c>
      <c r="D432" s="11">
        <f t="shared" ca="1" si="80"/>
        <v>0.64040625097430126</v>
      </c>
      <c r="E432" s="11">
        <f t="shared" ca="1" si="81"/>
        <v>1400</v>
      </c>
      <c r="F432" s="11">
        <f t="shared" ca="1" si="82"/>
        <v>0.85895867685352312</v>
      </c>
      <c r="G432" s="11">
        <f t="shared" ca="1" si="83"/>
        <v>1700</v>
      </c>
      <c r="H432" s="11">
        <f t="shared" ca="1" si="84"/>
        <v>1400</v>
      </c>
      <c r="I432" s="11">
        <f t="shared" ca="1" si="85"/>
        <v>0.16425847949241246</v>
      </c>
      <c r="J432" s="11">
        <f t="shared" ca="1" si="86"/>
        <v>5</v>
      </c>
      <c r="K432" s="24">
        <v>96</v>
      </c>
      <c r="L432" s="24">
        <f t="shared" ca="1" si="87"/>
        <v>50</v>
      </c>
      <c r="M432" s="24">
        <v>400</v>
      </c>
      <c r="N432" s="24">
        <v>20</v>
      </c>
      <c r="O432" s="24">
        <f t="shared" ca="1" si="88"/>
        <v>566</v>
      </c>
      <c r="P432" s="24">
        <v>450</v>
      </c>
      <c r="Q432" s="11">
        <f t="shared" ca="1" si="89"/>
        <v>50</v>
      </c>
      <c r="R432" s="24">
        <v>200</v>
      </c>
      <c r="S432" s="24">
        <v>10</v>
      </c>
      <c r="T432" s="24">
        <f t="shared" ca="1" si="90"/>
        <v>710</v>
      </c>
    </row>
    <row r="433" spans="1:20" x14ac:dyDescent="0.45">
      <c r="A433" s="11">
        <v>420</v>
      </c>
      <c r="B433" s="11">
        <f t="shared" ca="1" si="78"/>
        <v>0.12711658963424766</v>
      </c>
      <c r="C433" s="11">
        <f t="shared" ca="1" si="79"/>
        <v>1100</v>
      </c>
      <c r="D433" s="11">
        <f t="shared" ca="1" si="80"/>
        <v>0.77148567620742159</v>
      </c>
      <c r="E433" s="11">
        <f t="shared" ca="1" si="81"/>
        <v>1500</v>
      </c>
      <c r="F433" s="11">
        <f t="shared" ca="1" si="82"/>
        <v>0.97267526647068614</v>
      </c>
      <c r="G433" s="11">
        <f t="shared" ca="1" si="83"/>
        <v>1900</v>
      </c>
      <c r="H433" s="11">
        <f t="shared" ca="1" si="84"/>
        <v>1100</v>
      </c>
      <c r="I433" s="11">
        <f t="shared" ca="1" si="85"/>
        <v>0.68041177760765192</v>
      </c>
      <c r="J433" s="11">
        <f t="shared" ca="1" si="86"/>
        <v>10</v>
      </c>
      <c r="K433" s="24">
        <v>96</v>
      </c>
      <c r="L433" s="24">
        <f t="shared" ca="1" si="87"/>
        <v>100</v>
      </c>
      <c r="M433" s="24">
        <v>400</v>
      </c>
      <c r="N433" s="24">
        <v>20</v>
      </c>
      <c r="O433" s="24">
        <f t="shared" ca="1" si="88"/>
        <v>616</v>
      </c>
      <c r="P433" s="24">
        <v>451</v>
      </c>
      <c r="Q433" s="11">
        <f t="shared" ca="1" si="89"/>
        <v>100</v>
      </c>
      <c r="R433" s="24">
        <v>200</v>
      </c>
      <c r="S433" s="24">
        <v>10</v>
      </c>
      <c r="T433" s="24">
        <f t="shared" ca="1" si="90"/>
        <v>761</v>
      </c>
    </row>
    <row r="434" spans="1:20" x14ac:dyDescent="0.45">
      <c r="A434" s="11">
        <v>421</v>
      </c>
      <c r="B434" s="11">
        <f t="shared" ca="1" si="78"/>
        <v>5.0542711523883233E-3</v>
      </c>
      <c r="C434" s="11">
        <f t="shared" ca="1" si="79"/>
        <v>1000</v>
      </c>
      <c r="D434" s="11">
        <f t="shared" ca="1" si="80"/>
        <v>0.13523114154810567</v>
      </c>
      <c r="E434" s="11">
        <f t="shared" ca="1" si="81"/>
        <v>1100</v>
      </c>
      <c r="F434" s="11">
        <f t="shared" ca="1" si="82"/>
        <v>0.69880054214708842</v>
      </c>
      <c r="G434" s="11">
        <f t="shared" ca="1" si="83"/>
        <v>1400</v>
      </c>
      <c r="H434" s="11">
        <f t="shared" ca="1" si="84"/>
        <v>1000</v>
      </c>
      <c r="I434" s="11">
        <f t="shared" ca="1" si="85"/>
        <v>0.70861733517368231</v>
      </c>
      <c r="J434" s="11">
        <f t="shared" ca="1" si="86"/>
        <v>10</v>
      </c>
      <c r="K434" s="24">
        <v>96</v>
      </c>
      <c r="L434" s="24">
        <f t="shared" ca="1" si="87"/>
        <v>100</v>
      </c>
      <c r="M434" s="24">
        <v>400</v>
      </c>
      <c r="N434" s="24">
        <v>20</v>
      </c>
      <c r="O434" s="24">
        <f t="shared" ca="1" si="88"/>
        <v>616</v>
      </c>
      <c r="P434" s="24">
        <v>452</v>
      </c>
      <c r="Q434" s="11">
        <f t="shared" ca="1" si="89"/>
        <v>100</v>
      </c>
      <c r="R434" s="24">
        <v>200</v>
      </c>
      <c r="S434" s="24">
        <v>10</v>
      </c>
      <c r="T434" s="24">
        <f t="shared" ca="1" si="90"/>
        <v>762</v>
      </c>
    </row>
    <row r="435" spans="1:20" x14ac:dyDescent="0.45">
      <c r="A435" s="11">
        <v>422</v>
      </c>
      <c r="B435" s="11">
        <f t="shared" ca="1" si="78"/>
        <v>0.4514445578878864</v>
      </c>
      <c r="C435" s="11">
        <f t="shared" ca="1" si="79"/>
        <v>1200</v>
      </c>
      <c r="D435" s="11">
        <f t="shared" ca="1" si="80"/>
        <v>0.30900940689826584</v>
      </c>
      <c r="E435" s="11">
        <f t="shared" ca="1" si="81"/>
        <v>1200</v>
      </c>
      <c r="F435" s="11">
        <f t="shared" ca="1" si="82"/>
        <v>0.42264663615549924</v>
      </c>
      <c r="G435" s="11">
        <f t="shared" ca="1" si="83"/>
        <v>1200</v>
      </c>
      <c r="H435" s="11">
        <f t="shared" ca="1" si="84"/>
        <v>1200</v>
      </c>
      <c r="I435" s="11">
        <f t="shared" ca="1" si="85"/>
        <v>0.23572842755860102</v>
      </c>
      <c r="J435" s="11">
        <f t="shared" ca="1" si="86"/>
        <v>5</v>
      </c>
      <c r="K435" s="24">
        <v>96</v>
      </c>
      <c r="L435" s="24">
        <f t="shared" ca="1" si="87"/>
        <v>50</v>
      </c>
      <c r="M435" s="24">
        <v>400</v>
      </c>
      <c r="N435" s="24">
        <v>20</v>
      </c>
      <c r="O435" s="24">
        <f t="shared" ca="1" si="88"/>
        <v>566</v>
      </c>
      <c r="P435" s="24">
        <v>453</v>
      </c>
      <c r="Q435" s="11">
        <f t="shared" ca="1" si="89"/>
        <v>50</v>
      </c>
      <c r="R435" s="24">
        <v>200</v>
      </c>
      <c r="S435" s="24">
        <v>10</v>
      </c>
      <c r="T435" s="24">
        <f t="shared" ca="1" si="90"/>
        <v>713</v>
      </c>
    </row>
    <row r="436" spans="1:20" x14ac:dyDescent="0.45">
      <c r="A436" s="11">
        <v>423</v>
      </c>
      <c r="B436" s="11">
        <f t="shared" ca="1" si="78"/>
        <v>0.75367354344616067</v>
      </c>
      <c r="C436" s="11">
        <f t="shared" ca="1" si="79"/>
        <v>1500</v>
      </c>
      <c r="D436" s="11">
        <f t="shared" ca="1" si="80"/>
        <v>0.56802548323156399</v>
      </c>
      <c r="E436" s="11">
        <f t="shared" ca="1" si="81"/>
        <v>1300</v>
      </c>
      <c r="F436" s="11">
        <f t="shared" ca="1" si="82"/>
        <v>0.17720985534498723</v>
      </c>
      <c r="G436" s="11">
        <f t="shared" ca="1" si="83"/>
        <v>1100</v>
      </c>
      <c r="H436" s="11">
        <f t="shared" ca="1" si="84"/>
        <v>1100</v>
      </c>
      <c r="I436" s="11">
        <f t="shared" ca="1" si="85"/>
        <v>7.1754935115738161E-2</v>
      </c>
      <c r="J436" s="11">
        <f t="shared" ca="1" si="86"/>
        <v>5</v>
      </c>
      <c r="K436" s="24">
        <v>96</v>
      </c>
      <c r="L436" s="24">
        <f t="shared" ca="1" si="87"/>
        <v>50</v>
      </c>
      <c r="M436" s="24">
        <v>400</v>
      </c>
      <c r="N436" s="24">
        <v>20</v>
      </c>
      <c r="O436" s="24">
        <f t="shared" ca="1" si="88"/>
        <v>566</v>
      </c>
      <c r="P436" s="24">
        <v>454</v>
      </c>
      <c r="Q436" s="11">
        <f t="shared" ca="1" si="89"/>
        <v>50</v>
      </c>
      <c r="R436" s="24">
        <v>200</v>
      </c>
      <c r="S436" s="24">
        <v>10</v>
      </c>
      <c r="T436" s="24">
        <f t="shared" ca="1" si="90"/>
        <v>714</v>
      </c>
    </row>
    <row r="437" spans="1:20" x14ac:dyDescent="0.45">
      <c r="A437" s="11">
        <v>424</v>
      </c>
      <c r="B437" s="11">
        <f t="shared" ca="1" si="78"/>
        <v>0.22382205628144758</v>
      </c>
      <c r="C437" s="11">
        <f t="shared" ca="1" si="79"/>
        <v>1100</v>
      </c>
      <c r="D437" s="11">
        <f t="shared" ca="1" si="80"/>
        <v>0.22974724946377412</v>
      </c>
      <c r="E437" s="11">
        <f t="shared" ca="1" si="81"/>
        <v>1100</v>
      </c>
      <c r="F437" s="11">
        <f t="shared" ca="1" si="82"/>
        <v>0.50317112162371147</v>
      </c>
      <c r="G437" s="11">
        <f t="shared" ca="1" si="83"/>
        <v>1300</v>
      </c>
      <c r="H437" s="11">
        <f t="shared" ca="1" si="84"/>
        <v>1100</v>
      </c>
      <c r="I437" s="11">
        <f t="shared" ca="1" si="85"/>
        <v>0.77805650182040098</v>
      </c>
      <c r="J437" s="11">
        <f t="shared" ca="1" si="86"/>
        <v>10</v>
      </c>
      <c r="K437" s="24">
        <v>96</v>
      </c>
      <c r="L437" s="24">
        <f t="shared" ca="1" si="87"/>
        <v>100</v>
      </c>
      <c r="M437" s="24">
        <v>400</v>
      </c>
      <c r="N437" s="24">
        <v>20</v>
      </c>
      <c r="O437" s="24">
        <f t="shared" ca="1" si="88"/>
        <v>616</v>
      </c>
      <c r="P437" s="24">
        <v>455</v>
      </c>
      <c r="Q437" s="11">
        <f t="shared" ca="1" si="89"/>
        <v>100</v>
      </c>
      <c r="R437" s="24">
        <v>200</v>
      </c>
      <c r="S437" s="24">
        <v>10</v>
      </c>
      <c r="T437" s="24">
        <f t="shared" ca="1" si="90"/>
        <v>765</v>
      </c>
    </row>
    <row r="438" spans="1:20" x14ac:dyDescent="0.45">
      <c r="A438" s="11">
        <v>425</v>
      </c>
      <c r="B438" s="11">
        <f t="shared" ca="1" si="78"/>
        <v>0.82972166373307488</v>
      </c>
      <c r="C438" s="11">
        <f t="shared" ca="1" si="79"/>
        <v>1600</v>
      </c>
      <c r="D438" s="11">
        <f t="shared" ca="1" si="80"/>
        <v>0.11557781567575443</v>
      </c>
      <c r="E438" s="11">
        <f t="shared" ca="1" si="81"/>
        <v>1100</v>
      </c>
      <c r="F438" s="11">
        <f t="shared" ca="1" si="82"/>
        <v>0.10629148072239303</v>
      </c>
      <c r="G438" s="11">
        <f t="shared" ca="1" si="83"/>
        <v>1100</v>
      </c>
      <c r="H438" s="11">
        <f t="shared" ca="1" si="84"/>
        <v>1100</v>
      </c>
      <c r="I438" s="11">
        <f t="shared" ca="1" si="85"/>
        <v>0.97480068516766138</v>
      </c>
      <c r="J438" s="11">
        <f t="shared" ca="1" si="86"/>
        <v>15</v>
      </c>
      <c r="K438" s="24">
        <v>96</v>
      </c>
      <c r="L438" s="24">
        <f t="shared" ca="1" si="87"/>
        <v>150</v>
      </c>
      <c r="M438" s="24">
        <v>400</v>
      </c>
      <c r="N438" s="24">
        <v>20</v>
      </c>
      <c r="O438" s="24">
        <f t="shared" ca="1" si="88"/>
        <v>666</v>
      </c>
      <c r="P438" s="24">
        <v>456</v>
      </c>
      <c r="Q438" s="11">
        <f t="shared" ca="1" si="89"/>
        <v>150</v>
      </c>
      <c r="R438" s="24">
        <v>200</v>
      </c>
      <c r="S438" s="24">
        <v>10</v>
      </c>
      <c r="T438" s="24">
        <f t="shared" ca="1" si="90"/>
        <v>816</v>
      </c>
    </row>
    <row r="439" spans="1:20" x14ac:dyDescent="0.45">
      <c r="A439" s="11">
        <v>426</v>
      </c>
      <c r="B439" s="11">
        <f t="shared" ca="1" si="78"/>
        <v>0.3404582697082057</v>
      </c>
      <c r="C439" s="11">
        <f t="shared" ca="1" si="79"/>
        <v>1200</v>
      </c>
      <c r="D439" s="11">
        <f t="shared" ca="1" si="80"/>
        <v>0.71405212250736472</v>
      </c>
      <c r="E439" s="11">
        <f t="shared" ca="1" si="81"/>
        <v>1500</v>
      </c>
      <c r="F439" s="11">
        <f t="shared" ca="1" si="82"/>
        <v>6.9989340326567007E-2</v>
      </c>
      <c r="G439" s="11">
        <f t="shared" ca="1" si="83"/>
        <v>1000</v>
      </c>
      <c r="H439" s="11">
        <f t="shared" ca="1" si="84"/>
        <v>1000</v>
      </c>
      <c r="I439" s="11">
        <f t="shared" ca="1" si="85"/>
        <v>6.4781068670641484E-2</v>
      </c>
      <c r="J439" s="11">
        <f t="shared" ca="1" si="86"/>
        <v>5</v>
      </c>
      <c r="K439" s="24">
        <v>96</v>
      </c>
      <c r="L439" s="24">
        <f t="shared" ca="1" si="87"/>
        <v>50</v>
      </c>
      <c r="M439" s="24">
        <v>400</v>
      </c>
      <c r="N439" s="24">
        <v>20</v>
      </c>
      <c r="O439" s="24">
        <f t="shared" ca="1" si="88"/>
        <v>566</v>
      </c>
      <c r="P439" s="24">
        <v>457</v>
      </c>
      <c r="Q439" s="11">
        <f t="shared" ca="1" si="89"/>
        <v>50</v>
      </c>
      <c r="R439" s="24">
        <v>200</v>
      </c>
      <c r="S439" s="24">
        <v>10</v>
      </c>
      <c r="T439" s="24">
        <f t="shared" ca="1" si="90"/>
        <v>717</v>
      </c>
    </row>
    <row r="440" spans="1:20" x14ac:dyDescent="0.45">
      <c r="A440" s="11">
        <v>427</v>
      </c>
      <c r="B440" s="11">
        <f t="shared" ca="1" si="78"/>
        <v>0.43188354736318035</v>
      </c>
      <c r="C440" s="11">
        <f t="shared" ca="1" si="79"/>
        <v>1200</v>
      </c>
      <c r="D440" s="11">
        <f t="shared" ca="1" si="80"/>
        <v>0.81652273006852094</v>
      </c>
      <c r="E440" s="11">
        <f t="shared" ca="1" si="81"/>
        <v>1500</v>
      </c>
      <c r="F440" s="11">
        <f t="shared" ca="1" si="82"/>
        <v>0.10069144037070099</v>
      </c>
      <c r="G440" s="11">
        <f t="shared" ca="1" si="83"/>
        <v>1100</v>
      </c>
      <c r="H440" s="11">
        <f t="shared" ca="1" si="84"/>
        <v>1100</v>
      </c>
      <c r="I440" s="11">
        <f t="shared" ca="1" si="85"/>
        <v>0.36841066661520616</v>
      </c>
      <c r="J440" s="11">
        <f t="shared" ca="1" si="86"/>
        <v>5</v>
      </c>
      <c r="K440" s="24">
        <v>96</v>
      </c>
      <c r="L440" s="24">
        <f t="shared" ca="1" si="87"/>
        <v>50</v>
      </c>
      <c r="M440" s="24">
        <v>400</v>
      </c>
      <c r="N440" s="24">
        <v>20</v>
      </c>
      <c r="O440" s="24">
        <f t="shared" ca="1" si="88"/>
        <v>566</v>
      </c>
      <c r="P440" s="24">
        <v>458</v>
      </c>
      <c r="Q440" s="11">
        <f t="shared" ca="1" si="89"/>
        <v>50</v>
      </c>
      <c r="R440" s="24">
        <v>200</v>
      </c>
      <c r="S440" s="24">
        <v>10</v>
      </c>
      <c r="T440" s="24">
        <f t="shared" ca="1" si="90"/>
        <v>718</v>
      </c>
    </row>
    <row r="441" spans="1:20" x14ac:dyDescent="0.45">
      <c r="A441" s="11">
        <v>428</v>
      </c>
      <c r="B441" s="11">
        <f t="shared" ca="1" si="78"/>
        <v>0.48797912931164888</v>
      </c>
      <c r="C441" s="11">
        <f t="shared" ca="1" si="79"/>
        <v>1300</v>
      </c>
      <c r="D441" s="11">
        <f t="shared" ca="1" si="80"/>
        <v>0.44852484684548966</v>
      </c>
      <c r="E441" s="11">
        <f t="shared" ca="1" si="81"/>
        <v>1200</v>
      </c>
      <c r="F441" s="11">
        <f t="shared" ca="1" si="82"/>
        <v>0.6934904614361137</v>
      </c>
      <c r="G441" s="11">
        <f t="shared" ca="1" si="83"/>
        <v>1400</v>
      </c>
      <c r="H441" s="11">
        <f t="shared" ca="1" si="84"/>
        <v>1200</v>
      </c>
      <c r="I441" s="11">
        <f t="shared" ca="1" si="85"/>
        <v>0.44245873401030322</v>
      </c>
      <c r="J441" s="11">
        <f t="shared" ca="1" si="86"/>
        <v>5</v>
      </c>
      <c r="K441" s="24">
        <v>96</v>
      </c>
      <c r="L441" s="24">
        <f t="shared" ca="1" si="87"/>
        <v>50</v>
      </c>
      <c r="M441" s="24">
        <v>400</v>
      </c>
      <c r="N441" s="24">
        <v>20</v>
      </c>
      <c r="O441" s="24">
        <f t="shared" ca="1" si="88"/>
        <v>566</v>
      </c>
      <c r="P441" s="24">
        <v>459</v>
      </c>
      <c r="Q441" s="11">
        <f t="shared" ca="1" si="89"/>
        <v>50</v>
      </c>
      <c r="R441" s="24">
        <v>200</v>
      </c>
      <c r="S441" s="24">
        <v>10</v>
      </c>
      <c r="T441" s="24">
        <f t="shared" ca="1" si="90"/>
        <v>719</v>
      </c>
    </row>
    <row r="442" spans="1:20" x14ac:dyDescent="0.45">
      <c r="A442" s="11">
        <v>429</v>
      </c>
      <c r="B442" s="11">
        <f t="shared" ca="1" si="78"/>
        <v>0.23173332812523473</v>
      </c>
      <c r="C442" s="11">
        <f t="shared" ca="1" si="79"/>
        <v>1200</v>
      </c>
      <c r="D442" s="11">
        <f t="shared" ca="1" si="80"/>
        <v>0.14364224996332853</v>
      </c>
      <c r="E442" s="11">
        <f t="shared" ca="1" si="81"/>
        <v>1100</v>
      </c>
      <c r="F442" s="11">
        <f t="shared" ca="1" si="82"/>
        <v>0.89469780034907598</v>
      </c>
      <c r="G442" s="11">
        <f t="shared" ca="1" si="83"/>
        <v>1700</v>
      </c>
      <c r="H442" s="11">
        <f t="shared" ca="1" si="84"/>
        <v>1100</v>
      </c>
      <c r="I442" s="11">
        <f t="shared" ca="1" si="85"/>
        <v>0.7665808296240697</v>
      </c>
      <c r="J442" s="11">
        <f t="shared" ca="1" si="86"/>
        <v>10</v>
      </c>
      <c r="K442" s="24">
        <v>96</v>
      </c>
      <c r="L442" s="24">
        <f t="shared" ca="1" si="87"/>
        <v>100</v>
      </c>
      <c r="M442" s="24">
        <v>400</v>
      </c>
      <c r="N442" s="24">
        <v>20</v>
      </c>
      <c r="O442" s="24">
        <f t="shared" ca="1" si="88"/>
        <v>616</v>
      </c>
      <c r="P442" s="24">
        <v>460</v>
      </c>
      <c r="Q442" s="11">
        <f t="shared" ca="1" si="89"/>
        <v>100</v>
      </c>
      <c r="R442" s="24">
        <v>200</v>
      </c>
      <c r="S442" s="24">
        <v>10</v>
      </c>
      <c r="T442" s="24">
        <f t="shared" ca="1" si="90"/>
        <v>770</v>
      </c>
    </row>
    <row r="443" spans="1:20" x14ac:dyDescent="0.45">
      <c r="A443" s="11">
        <v>430</v>
      </c>
      <c r="B443" s="11">
        <f t="shared" ca="1" si="78"/>
        <v>0.60190888766245709</v>
      </c>
      <c r="C443" s="11">
        <f t="shared" ca="1" si="79"/>
        <v>1300</v>
      </c>
      <c r="D443" s="11">
        <f t="shared" ca="1" si="80"/>
        <v>0.22835108827212358</v>
      </c>
      <c r="E443" s="11">
        <f t="shared" ca="1" si="81"/>
        <v>1100</v>
      </c>
      <c r="F443" s="11">
        <f t="shared" ca="1" si="82"/>
        <v>0.79575955021765765</v>
      </c>
      <c r="G443" s="11">
        <f t="shared" ca="1" si="83"/>
        <v>1500</v>
      </c>
      <c r="H443" s="11">
        <f t="shared" ca="1" si="84"/>
        <v>1100</v>
      </c>
      <c r="I443" s="11">
        <f t="shared" ca="1" si="85"/>
        <v>0.86793124494840745</v>
      </c>
      <c r="J443" s="11">
        <f t="shared" ca="1" si="86"/>
        <v>10</v>
      </c>
      <c r="K443" s="24">
        <v>96</v>
      </c>
      <c r="L443" s="24">
        <f t="shared" ca="1" si="87"/>
        <v>100</v>
      </c>
      <c r="M443" s="24">
        <v>400</v>
      </c>
      <c r="N443" s="24">
        <v>20</v>
      </c>
      <c r="O443" s="24">
        <f t="shared" ca="1" si="88"/>
        <v>616</v>
      </c>
      <c r="P443" s="24">
        <v>461</v>
      </c>
      <c r="Q443" s="11">
        <f t="shared" ca="1" si="89"/>
        <v>100</v>
      </c>
      <c r="R443" s="24">
        <v>200</v>
      </c>
      <c r="S443" s="24">
        <v>10</v>
      </c>
      <c r="T443" s="24">
        <f t="shared" ca="1" si="90"/>
        <v>771</v>
      </c>
    </row>
    <row r="444" spans="1:20" x14ac:dyDescent="0.45">
      <c r="A444" s="11">
        <v>431</v>
      </c>
      <c r="B444" s="11">
        <f t="shared" ca="1" si="78"/>
        <v>0.87141906968789751</v>
      </c>
      <c r="C444" s="11">
        <f t="shared" ca="1" si="79"/>
        <v>1700</v>
      </c>
      <c r="D444" s="11">
        <f t="shared" ca="1" si="80"/>
        <v>0.20481758314346599</v>
      </c>
      <c r="E444" s="11">
        <f t="shared" ca="1" si="81"/>
        <v>1100</v>
      </c>
      <c r="F444" s="11">
        <f t="shared" ca="1" si="82"/>
        <v>0.47942722272565852</v>
      </c>
      <c r="G444" s="11">
        <f t="shared" ca="1" si="83"/>
        <v>1200</v>
      </c>
      <c r="H444" s="11">
        <f t="shared" ca="1" si="84"/>
        <v>1100</v>
      </c>
      <c r="I444" s="11">
        <f t="shared" ca="1" si="85"/>
        <v>0.27058961227242306</v>
      </c>
      <c r="J444" s="11">
        <f t="shared" ca="1" si="86"/>
        <v>5</v>
      </c>
      <c r="K444" s="24">
        <v>96</v>
      </c>
      <c r="L444" s="24">
        <f t="shared" ca="1" si="87"/>
        <v>50</v>
      </c>
      <c r="M444" s="24">
        <v>400</v>
      </c>
      <c r="N444" s="24">
        <v>20</v>
      </c>
      <c r="O444" s="24">
        <f t="shared" ca="1" si="88"/>
        <v>566</v>
      </c>
      <c r="P444" s="24">
        <v>462</v>
      </c>
      <c r="Q444" s="11">
        <f t="shared" ca="1" si="89"/>
        <v>50</v>
      </c>
      <c r="R444" s="24">
        <v>200</v>
      </c>
      <c r="S444" s="24">
        <v>10</v>
      </c>
      <c r="T444" s="24">
        <f t="shared" ca="1" si="90"/>
        <v>722</v>
      </c>
    </row>
    <row r="445" spans="1:20" x14ac:dyDescent="0.45">
      <c r="A445" s="11">
        <v>432</v>
      </c>
      <c r="B445" s="11">
        <f t="shared" ca="1" si="78"/>
        <v>0.99305369964128831</v>
      </c>
      <c r="C445" s="11">
        <f t="shared" ca="1" si="79"/>
        <v>1900</v>
      </c>
      <c r="D445" s="11">
        <f t="shared" ca="1" si="80"/>
        <v>0.75853975011483432</v>
      </c>
      <c r="E445" s="11">
        <f t="shared" ca="1" si="81"/>
        <v>1500</v>
      </c>
      <c r="F445" s="11">
        <f t="shared" ca="1" si="82"/>
        <v>0.15842046005312127</v>
      </c>
      <c r="G445" s="11">
        <f t="shared" ca="1" si="83"/>
        <v>1100</v>
      </c>
      <c r="H445" s="11">
        <f t="shared" ca="1" si="84"/>
        <v>1100</v>
      </c>
      <c r="I445" s="11">
        <f t="shared" ca="1" si="85"/>
        <v>0.78454497734889583</v>
      </c>
      <c r="J445" s="11">
        <f t="shared" ca="1" si="86"/>
        <v>10</v>
      </c>
      <c r="K445" s="24">
        <v>96</v>
      </c>
      <c r="L445" s="24">
        <f t="shared" ca="1" si="87"/>
        <v>100</v>
      </c>
      <c r="M445" s="24">
        <v>400</v>
      </c>
      <c r="N445" s="24">
        <v>20</v>
      </c>
      <c r="O445" s="24">
        <f t="shared" ca="1" si="88"/>
        <v>616</v>
      </c>
      <c r="P445" s="24">
        <v>463</v>
      </c>
      <c r="Q445" s="11">
        <f t="shared" ca="1" si="89"/>
        <v>100</v>
      </c>
      <c r="R445" s="24">
        <v>200</v>
      </c>
      <c r="S445" s="24">
        <v>10</v>
      </c>
      <c r="T445" s="24">
        <f t="shared" ca="1" si="90"/>
        <v>773</v>
      </c>
    </row>
    <row r="446" spans="1:20" x14ac:dyDescent="0.45">
      <c r="A446" s="11">
        <v>433</v>
      </c>
      <c r="B446" s="11">
        <f t="shared" ca="1" si="78"/>
        <v>0.25280870335243832</v>
      </c>
      <c r="C446" s="11">
        <f t="shared" ca="1" si="79"/>
        <v>1200</v>
      </c>
      <c r="D446" s="11">
        <f t="shared" ca="1" si="80"/>
        <v>0.31886807165366737</v>
      </c>
      <c r="E446" s="11">
        <f t="shared" ca="1" si="81"/>
        <v>1200</v>
      </c>
      <c r="F446" s="11">
        <f t="shared" ca="1" si="82"/>
        <v>0.16712786710993333</v>
      </c>
      <c r="G446" s="11">
        <f t="shared" ca="1" si="83"/>
        <v>1100</v>
      </c>
      <c r="H446" s="11">
        <f t="shared" ca="1" si="84"/>
        <v>1100</v>
      </c>
      <c r="I446" s="11">
        <f t="shared" ca="1" si="85"/>
        <v>0.19850094160868592</v>
      </c>
      <c r="J446" s="11">
        <f t="shared" ca="1" si="86"/>
        <v>5</v>
      </c>
      <c r="K446" s="24">
        <v>96</v>
      </c>
      <c r="L446" s="24">
        <f t="shared" ca="1" si="87"/>
        <v>50</v>
      </c>
      <c r="M446" s="24">
        <v>400</v>
      </c>
      <c r="N446" s="24">
        <v>20</v>
      </c>
      <c r="O446" s="24">
        <f t="shared" ca="1" si="88"/>
        <v>566</v>
      </c>
      <c r="P446" s="24">
        <v>464</v>
      </c>
      <c r="Q446" s="11">
        <f t="shared" ca="1" si="89"/>
        <v>50</v>
      </c>
      <c r="R446" s="24">
        <v>200</v>
      </c>
      <c r="S446" s="24">
        <v>10</v>
      </c>
      <c r="T446" s="24">
        <f t="shared" ca="1" si="90"/>
        <v>724</v>
      </c>
    </row>
    <row r="447" spans="1:20" x14ac:dyDescent="0.45">
      <c r="A447" s="11">
        <v>434</v>
      </c>
      <c r="B447" s="11">
        <f t="shared" ca="1" si="78"/>
        <v>0.83446780474429194</v>
      </c>
      <c r="C447" s="11">
        <f t="shared" ca="1" si="79"/>
        <v>1600</v>
      </c>
      <c r="D447" s="11">
        <f t="shared" ca="1" si="80"/>
        <v>0.57766908142848572</v>
      </c>
      <c r="E447" s="11">
        <f t="shared" ca="1" si="81"/>
        <v>1300</v>
      </c>
      <c r="F447" s="11">
        <f t="shared" ca="1" si="82"/>
        <v>3.28308677627559E-2</v>
      </c>
      <c r="G447" s="11">
        <f t="shared" ca="1" si="83"/>
        <v>1000</v>
      </c>
      <c r="H447" s="11">
        <f t="shared" ca="1" si="84"/>
        <v>1000</v>
      </c>
      <c r="I447" s="11">
        <f t="shared" ca="1" si="85"/>
        <v>0.2989669390819345</v>
      </c>
      <c r="J447" s="11">
        <f t="shared" ca="1" si="86"/>
        <v>5</v>
      </c>
      <c r="K447" s="24">
        <v>96</v>
      </c>
      <c r="L447" s="24">
        <f t="shared" ca="1" si="87"/>
        <v>50</v>
      </c>
      <c r="M447" s="24">
        <v>400</v>
      </c>
      <c r="N447" s="24">
        <v>20</v>
      </c>
      <c r="O447" s="24">
        <f t="shared" ca="1" si="88"/>
        <v>566</v>
      </c>
      <c r="P447" s="24">
        <v>465</v>
      </c>
      <c r="Q447" s="11">
        <f t="shared" ca="1" si="89"/>
        <v>50</v>
      </c>
      <c r="R447" s="24">
        <v>200</v>
      </c>
      <c r="S447" s="24">
        <v>10</v>
      </c>
      <c r="T447" s="24">
        <f t="shared" ca="1" si="90"/>
        <v>725</v>
      </c>
    </row>
    <row r="448" spans="1:20" x14ac:dyDescent="0.45">
      <c r="A448" s="11">
        <v>435</v>
      </c>
      <c r="B448" s="11">
        <f t="shared" ca="1" si="78"/>
        <v>0.10781833377017924</v>
      </c>
      <c r="C448" s="11">
        <f t="shared" ca="1" si="79"/>
        <v>1100</v>
      </c>
      <c r="D448" s="11">
        <f t="shared" ca="1" si="80"/>
        <v>0.98278458055342155</v>
      </c>
      <c r="E448" s="11">
        <f t="shared" ca="1" si="81"/>
        <v>1900</v>
      </c>
      <c r="F448" s="11">
        <f t="shared" ca="1" si="82"/>
        <v>0.73431534928037845</v>
      </c>
      <c r="G448" s="11">
        <f t="shared" ca="1" si="83"/>
        <v>1500</v>
      </c>
      <c r="H448" s="11">
        <f t="shared" ca="1" si="84"/>
        <v>1100</v>
      </c>
      <c r="I448" s="11">
        <f t="shared" ca="1" si="85"/>
        <v>2.3591277292178026E-2</v>
      </c>
      <c r="J448" s="11">
        <f t="shared" ca="1" si="86"/>
        <v>5</v>
      </c>
      <c r="K448" s="24">
        <v>96</v>
      </c>
      <c r="L448" s="24">
        <f t="shared" ca="1" si="87"/>
        <v>50</v>
      </c>
      <c r="M448" s="24">
        <v>400</v>
      </c>
      <c r="N448" s="24">
        <v>20</v>
      </c>
      <c r="O448" s="24">
        <f t="shared" ca="1" si="88"/>
        <v>566</v>
      </c>
      <c r="P448" s="24">
        <v>466</v>
      </c>
      <c r="Q448" s="11">
        <f t="shared" ca="1" si="89"/>
        <v>50</v>
      </c>
      <c r="R448" s="24">
        <v>200</v>
      </c>
      <c r="S448" s="24">
        <v>10</v>
      </c>
      <c r="T448" s="24">
        <f t="shared" ca="1" si="90"/>
        <v>726</v>
      </c>
    </row>
    <row r="449" spans="1:20" x14ac:dyDescent="0.45">
      <c r="A449" s="11">
        <v>436</v>
      </c>
      <c r="B449" s="11">
        <f t="shared" ca="1" si="78"/>
        <v>0.66816770664947944</v>
      </c>
      <c r="C449" s="11">
        <f t="shared" ca="1" si="79"/>
        <v>1400</v>
      </c>
      <c r="D449" s="11">
        <f t="shared" ca="1" si="80"/>
        <v>0.98931037219834672</v>
      </c>
      <c r="E449" s="11">
        <f t="shared" ca="1" si="81"/>
        <v>1900</v>
      </c>
      <c r="F449" s="11">
        <f t="shared" ca="1" si="82"/>
        <v>0.53820289800928733</v>
      </c>
      <c r="G449" s="11">
        <f t="shared" ca="1" si="83"/>
        <v>1300</v>
      </c>
      <c r="H449" s="11">
        <f t="shared" ca="1" si="84"/>
        <v>1300</v>
      </c>
      <c r="I449" s="11">
        <f t="shared" ca="1" si="85"/>
        <v>0.34485471220558206</v>
      </c>
      <c r="J449" s="11">
        <f t="shared" ca="1" si="86"/>
        <v>5</v>
      </c>
      <c r="K449" s="24">
        <v>96</v>
      </c>
      <c r="L449" s="24">
        <f t="shared" ca="1" si="87"/>
        <v>50</v>
      </c>
      <c r="M449" s="24">
        <v>400</v>
      </c>
      <c r="N449" s="24">
        <v>20</v>
      </c>
      <c r="O449" s="24">
        <f t="shared" ca="1" si="88"/>
        <v>566</v>
      </c>
      <c r="P449" s="24">
        <v>467</v>
      </c>
      <c r="Q449" s="11">
        <f t="shared" ca="1" si="89"/>
        <v>50</v>
      </c>
      <c r="R449" s="24">
        <v>200</v>
      </c>
      <c r="S449" s="24">
        <v>10</v>
      </c>
      <c r="T449" s="24">
        <f t="shared" ca="1" si="90"/>
        <v>727</v>
      </c>
    </row>
    <row r="450" spans="1:20" x14ac:dyDescent="0.45">
      <c r="A450" s="11">
        <v>437</v>
      </c>
      <c r="B450" s="11">
        <f t="shared" ca="1" si="78"/>
        <v>4.3636903166915264E-2</v>
      </c>
      <c r="C450" s="11">
        <f t="shared" ca="1" si="79"/>
        <v>1000</v>
      </c>
      <c r="D450" s="11">
        <f t="shared" ca="1" si="80"/>
        <v>0.92617040934983541</v>
      </c>
      <c r="E450" s="11">
        <f t="shared" ca="1" si="81"/>
        <v>1800</v>
      </c>
      <c r="F450" s="11">
        <f t="shared" ca="1" si="82"/>
        <v>0.15871351133486811</v>
      </c>
      <c r="G450" s="11">
        <f t="shared" ca="1" si="83"/>
        <v>1100</v>
      </c>
      <c r="H450" s="11">
        <f t="shared" ca="1" si="84"/>
        <v>1000</v>
      </c>
      <c r="I450" s="11">
        <f t="shared" ca="1" si="85"/>
        <v>0.34400871116198672</v>
      </c>
      <c r="J450" s="11">
        <f t="shared" ca="1" si="86"/>
        <v>5</v>
      </c>
      <c r="K450" s="24">
        <v>96</v>
      </c>
      <c r="L450" s="24">
        <f t="shared" ca="1" si="87"/>
        <v>50</v>
      </c>
      <c r="M450" s="24">
        <v>400</v>
      </c>
      <c r="N450" s="24">
        <v>20</v>
      </c>
      <c r="O450" s="24">
        <f t="shared" ca="1" si="88"/>
        <v>566</v>
      </c>
      <c r="P450" s="24">
        <v>468</v>
      </c>
      <c r="Q450" s="11">
        <f t="shared" ca="1" si="89"/>
        <v>50</v>
      </c>
      <c r="R450" s="24">
        <v>200</v>
      </c>
      <c r="S450" s="24">
        <v>10</v>
      </c>
      <c r="T450" s="24">
        <f t="shared" ca="1" si="90"/>
        <v>728</v>
      </c>
    </row>
    <row r="451" spans="1:20" x14ac:dyDescent="0.45">
      <c r="A451" s="11">
        <v>438</v>
      </c>
      <c r="B451" s="11">
        <f t="shared" ca="1" si="78"/>
        <v>0.50482429702475839</v>
      </c>
      <c r="C451" s="11">
        <f t="shared" ca="1" si="79"/>
        <v>1300</v>
      </c>
      <c r="D451" s="11">
        <f t="shared" ca="1" si="80"/>
        <v>0.27870621231171977</v>
      </c>
      <c r="E451" s="11">
        <f t="shared" ca="1" si="81"/>
        <v>1200</v>
      </c>
      <c r="F451" s="11">
        <f t="shared" ca="1" si="82"/>
        <v>0.23746996189917458</v>
      </c>
      <c r="G451" s="11">
        <f t="shared" ca="1" si="83"/>
        <v>1200</v>
      </c>
      <c r="H451" s="11">
        <f t="shared" ca="1" si="84"/>
        <v>1200</v>
      </c>
      <c r="I451" s="11">
        <f t="shared" ca="1" si="85"/>
        <v>0.21225902407088215</v>
      </c>
      <c r="J451" s="11">
        <f t="shared" ca="1" si="86"/>
        <v>5</v>
      </c>
      <c r="K451" s="24">
        <v>96</v>
      </c>
      <c r="L451" s="24">
        <f t="shared" ca="1" si="87"/>
        <v>50</v>
      </c>
      <c r="M451" s="24">
        <v>400</v>
      </c>
      <c r="N451" s="24">
        <v>20</v>
      </c>
      <c r="O451" s="24">
        <f t="shared" ca="1" si="88"/>
        <v>566</v>
      </c>
      <c r="P451" s="24">
        <v>469</v>
      </c>
      <c r="Q451" s="11">
        <f t="shared" ca="1" si="89"/>
        <v>50</v>
      </c>
      <c r="R451" s="24">
        <v>200</v>
      </c>
      <c r="S451" s="24">
        <v>10</v>
      </c>
      <c r="T451" s="24">
        <f t="shared" ca="1" si="90"/>
        <v>729</v>
      </c>
    </row>
    <row r="452" spans="1:20" x14ac:dyDescent="0.45">
      <c r="A452" s="11">
        <v>439</v>
      </c>
      <c r="B452" s="11">
        <f t="shared" ca="1" si="78"/>
        <v>0.27535848318311296</v>
      </c>
      <c r="C452" s="11">
        <f t="shared" ca="1" si="79"/>
        <v>1200</v>
      </c>
      <c r="D452" s="11">
        <f t="shared" ca="1" si="80"/>
        <v>0.10000910177050526</v>
      </c>
      <c r="E452" s="11">
        <f t="shared" ca="1" si="81"/>
        <v>1100</v>
      </c>
      <c r="F452" s="11">
        <f t="shared" ca="1" si="82"/>
        <v>8.7074627817431693E-3</v>
      </c>
      <c r="G452" s="11">
        <f t="shared" ca="1" si="83"/>
        <v>1000</v>
      </c>
      <c r="H452" s="11">
        <f t="shared" ca="1" si="84"/>
        <v>1000</v>
      </c>
      <c r="I452" s="11">
        <f t="shared" ca="1" si="85"/>
        <v>0.26211598278674264</v>
      </c>
      <c r="J452" s="11">
        <f t="shared" ca="1" si="86"/>
        <v>5</v>
      </c>
      <c r="K452" s="24">
        <v>96</v>
      </c>
      <c r="L452" s="24">
        <f t="shared" ca="1" si="87"/>
        <v>50</v>
      </c>
      <c r="M452" s="24">
        <v>400</v>
      </c>
      <c r="N452" s="24">
        <v>20</v>
      </c>
      <c r="O452" s="24">
        <f t="shared" ca="1" si="88"/>
        <v>566</v>
      </c>
      <c r="P452" s="24">
        <v>470</v>
      </c>
      <c r="Q452" s="11">
        <f t="shared" ca="1" si="89"/>
        <v>50</v>
      </c>
      <c r="R452" s="24">
        <v>200</v>
      </c>
      <c r="S452" s="24">
        <v>10</v>
      </c>
      <c r="T452" s="24">
        <f t="shared" ca="1" si="90"/>
        <v>730</v>
      </c>
    </row>
    <row r="453" spans="1:20" x14ac:dyDescent="0.45">
      <c r="A453" s="11">
        <v>440</v>
      </c>
      <c r="B453" s="11">
        <f t="shared" ca="1" si="78"/>
        <v>0.94996708671995289</v>
      </c>
      <c r="C453" s="11">
        <f t="shared" ca="1" si="79"/>
        <v>1800</v>
      </c>
      <c r="D453" s="11">
        <f t="shared" ca="1" si="80"/>
        <v>0.30069260516667684</v>
      </c>
      <c r="E453" s="11">
        <f t="shared" ca="1" si="81"/>
        <v>1200</v>
      </c>
      <c r="F453" s="11">
        <f t="shared" ca="1" si="82"/>
        <v>0.95015227486868215</v>
      </c>
      <c r="G453" s="11">
        <f t="shared" ca="1" si="83"/>
        <v>1900</v>
      </c>
      <c r="H453" s="11">
        <f t="shared" ca="1" si="84"/>
        <v>1200</v>
      </c>
      <c r="I453" s="11">
        <f t="shared" ca="1" si="85"/>
        <v>2.6972528045656752E-3</v>
      </c>
      <c r="J453" s="11">
        <f t="shared" ca="1" si="86"/>
        <v>5</v>
      </c>
      <c r="K453" s="24">
        <v>96</v>
      </c>
      <c r="L453" s="24">
        <f t="shared" ca="1" si="87"/>
        <v>50</v>
      </c>
      <c r="M453" s="24">
        <v>400</v>
      </c>
      <c r="N453" s="24">
        <v>20</v>
      </c>
      <c r="O453" s="24">
        <f t="shared" ca="1" si="88"/>
        <v>566</v>
      </c>
      <c r="P453" s="24">
        <v>471</v>
      </c>
      <c r="Q453" s="11">
        <f t="shared" ca="1" si="89"/>
        <v>50</v>
      </c>
      <c r="R453" s="24">
        <v>200</v>
      </c>
      <c r="S453" s="24">
        <v>10</v>
      </c>
      <c r="T453" s="24">
        <f t="shared" ca="1" si="90"/>
        <v>731</v>
      </c>
    </row>
    <row r="454" spans="1:20" x14ac:dyDescent="0.45">
      <c r="A454" s="11">
        <v>441</v>
      </c>
      <c r="B454" s="11">
        <f t="shared" ca="1" si="78"/>
        <v>0.80419280735434773</v>
      </c>
      <c r="C454" s="11">
        <f t="shared" ca="1" si="79"/>
        <v>1500</v>
      </c>
      <c r="D454" s="11">
        <f t="shared" ca="1" si="80"/>
        <v>0.88362923786326486</v>
      </c>
      <c r="E454" s="11">
        <f t="shared" ca="1" si="81"/>
        <v>1700</v>
      </c>
      <c r="F454" s="11">
        <f t="shared" ca="1" si="82"/>
        <v>0.59530119818596072</v>
      </c>
      <c r="G454" s="11">
        <f t="shared" ca="1" si="83"/>
        <v>1300</v>
      </c>
      <c r="H454" s="11">
        <f t="shared" ca="1" si="84"/>
        <v>1300</v>
      </c>
      <c r="I454" s="11">
        <f t="shared" ca="1" si="85"/>
        <v>0.8908769323099156</v>
      </c>
      <c r="J454" s="11">
        <f t="shared" ca="1" si="86"/>
        <v>10</v>
      </c>
      <c r="K454" s="24">
        <v>96</v>
      </c>
      <c r="L454" s="24">
        <f t="shared" ca="1" si="87"/>
        <v>100</v>
      </c>
      <c r="M454" s="24">
        <v>400</v>
      </c>
      <c r="N454" s="24">
        <v>20</v>
      </c>
      <c r="O454" s="24">
        <f t="shared" ca="1" si="88"/>
        <v>616</v>
      </c>
      <c r="P454" s="24">
        <v>472</v>
      </c>
      <c r="Q454" s="11">
        <f t="shared" ca="1" si="89"/>
        <v>100</v>
      </c>
      <c r="R454" s="24">
        <v>200</v>
      </c>
      <c r="S454" s="24">
        <v>10</v>
      </c>
      <c r="T454" s="24">
        <f t="shared" ca="1" si="90"/>
        <v>782</v>
      </c>
    </row>
    <row r="455" spans="1:20" x14ac:dyDescent="0.45">
      <c r="A455" s="11">
        <v>442</v>
      </c>
      <c r="B455" s="11">
        <f t="shared" ca="1" si="78"/>
        <v>0.57476661422805175</v>
      </c>
      <c r="C455" s="11">
        <f t="shared" ca="1" si="79"/>
        <v>1300</v>
      </c>
      <c r="D455" s="11">
        <f t="shared" ca="1" si="80"/>
        <v>0.30070011879851055</v>
      </c>
      <c r="E455" s="11">
        <f t="shared" ca="1" si="81"/>
        <v>1200</v>
      </c>
      <c r="F455" s="11">
        <f t="shared" ca="1" si="82"/>
        <v>0.90771144623617972</v>
      </c>
      <c r="G455" s="11">
        <f t="shared" ca="1" si="83"/>
        <v>1800</v>
      </c>
      <c r="H455" s="11">
        <f t="shared" ca="1" si="84"/>
        <v>1200</v>
      </c>
      <c r="I455" s="11">
        <f t="shared" ca="1" si="85"/>
        <v>0.6226420322133559</v>
      </c>
      <c r="J455" s="11">
        <f t="shared" ca="1" si="86"/>
        <v>10</v>
      </c>
      <c r="K455" s="24">
        <v>96</v>
      </c>
      <c r="L455" s="24">
        <f t="shared" ca="1" si="87"/>
        <v>100</v>
      </c>
      <c r="M455" s="24">
        <v>400</v>
      </c>
      <c r="N455" s="24">
        <v>20</v>
      </c>
      <c r="O455" s="24">
        <f t="shared" ca="1" si="88"/>
        <v>616</v>
      </c>
      <c r="P455" s="24">
        <v>473</v>
      </c>
      <c r="Q455" s="11">
        <f t="shared" ca="1" si="89"/>
        <v>100</v>
      </c>
      <c r="R455" s="24">
        <v>200</v>
      </c>
      <c r="S455" s="24">
        <v>10</v>
      </c>
      <c r="T455" s="24">
        <f t="shared" ca="1" si="90"/>
        <v>783</v>
      </c>
    </row>
    <row r="456" spans="1:20" x14ac:dyDescent="0.45">
      <c r="A456" s="11">
        <v>443</v>
      </c>
      <c r="B456" s="11">
        <f t="shared" ca="1" si="78"/>
        <v>0.84880077420294797</v>
      </c>
      <c r="C456" s="11">
        <f t="shared" ca="1" si="79"/>
        <v>1700</v>
      </c>
      <c r="D456" s="11">
        <f t="shared" ca="1" si="80"/>
        <v>0.75926733081239195</v>
      </c>
      <c r="E456" s="11">
        <f t="shared" ca="1" si="81"/>
        <v>1500</v>
      </c>
      <c r="F456" s="11">
        <f t="shared" ca="1" si="82"/>
        <v>0.22841245003689559</v>
      </c>
      <c r="G456" s="11">
        <f t="shared" ca="1" si="83"/>
        <v>1100</v>
      </c>
      <c r="H456" s="11">
        <f t="shared" ca="1" si="84"/>
        <v>1100</v>
      </c>
      <c r="I456" s="11">
        <f t="shared" ca="1" si="85"/>
        <v>0.99851899442743375</v>
      </c>
      <c r="J456" s="11">
        <f t="shared" ca="1" si="86"/>
        <v>15</v>
      </c>
      <c r="K456" s="24">
        <v>96</v>
      </c>
      <c r="L456" s="24">
        <f t="shared" ca="1" si="87"/>
        <v>150</v>
      </c>
      <c r="M456" s="24">
        <v>400</v>
      </c>
      <c r="N456" s="24">
        <v>20</v>
      </c>
      <c r="O456" s="24">
        <f t="shared" ca="1" si="88"/>
        <v>666</v>
      </c>
      <c r="P456" s="24">
        <v>474</v>
      </c>
      <c r="Q456" s="11">
        <f t="shared" ca="1" si="89"/>
        <v>150</v>
      </c>
      <c r="R456" s="24">
        <v>200</v>
      </c>
      <c r="S456" s="24">
        <v>10</v>
      </c>
      <c r="T456" s="24">
        <f t="shared" ca="1" si="90"/>
        <v>834</v>
      </c>
    </row>
    <row r="457" spans="1:20" x14ac:dyDescent="0.45">
      <c r="A457" s="11">
        <v>444</v>
      </c>
      <c r="B457" s="11">
        <f t="shared" ca="1" si="78"/>
        <v>0.23761394357940502</v>
      </c>
      <c r="C457" s="11">
        <f t="shared" ca="1" si="79"/>
        <v>1200</v>
      </c>
      <c r="D457" s="11">
        <f t="shared" ca="1" si="80"/>
        <v>0.59698475272602958</v>
      </c>
      <c r="E457" s="11">
        <f t="shared" ca="1" si="81"/>
        <v>1300</v>
      </c>
      <c r="F457" s="11">
        <f t="shared" ca="1" si="82"/>
        <v>0.71030995994991319</v>
      </c>
      <c r="G457" s="11">
        <f t="shared" ca="1" si="83"/>
        <v>1500</v>
      </c>
      <c r="H457" s="11">
        <f t="shared" ca="1" si="84"/>
        <v>1200</v>
      </c>
      <c r="I457" s="11">
        <f t="shared" ca="1" si="85"/>
        <v>0.86143052401403875</v>
      </c>
      <c r="J457" s="11">
        <f t="shared" ca="1" si="86"/>
        <v>10</v>
      </c>
      <c r="K457" s="24">
        <v>96</v>
      </c>
      <c r="L457" s="24">
        <f t="shared" ca="1" si="87"/>
        <v>100</v>
      </c>
      <c r="M457" s="24">
        <v>400</v>
      </c>
      <c r="N457" s="24">
        <v>20</v>
      </c>
      <c r="O457" s="24">
        <f t="shared" ca="1" si="88"/>
        <v>616</v>
      </c>
      <c r="P457" s="24">
        <v>475</v>
      </c>
      <c r="Q457" s="11">
        <f t="shared" ca="1" si="89"/>
        <v>100</v>
      </c>
      <c r="R457" s="24">
        <v>200</v>
      </c>
      <c r="S457" s="24">
        <v>10</v>
      </c>
      <c r="T457" s="24">
        <f t="shared" ca="1" si="90"/>
        <v>785</v>
      </c>
    </row>
    <row r="458" spans="1:20" x14ac:dyDescent="0.45">
      <c r="A458" s="11">
        <v>445</v>
      </c>
      <c r="B458" s="11">
        <f t="shared" ca="1" si="78"/>
        <v>0.85239225228528781</v>
      </c>
      <c r="C458" s="11">
        <f t="shared" ca="1" si="79"/>
        <v>1700</v>
      </c>
      <c r="D458" s="11">
        <f t="shared" ca="1" si="80"/>
        <v>0.66558883208272002</v>
      </c>
      <c r="E458" s="11">
        <f t="shared" ca="1" si="81"/>
        <v>1400</v>
      </c>
      <c r="F458" s="11">
        <f t="shared" ca="1" si="82"/>
        <v>0.98687863618964933</v>
      </c>
      <c r="G458" s="11">
        <f t="shared" ca="1" si="83"/>
        <v>1900</v>
      </c>
      <c r="H458" s="11">
        <f t="shared" ca="1" si="84"/>
        <v>1400</v>
      </c>
      <c r="I458" s="11">
        <f t="shared" ca="1" si="85"/>
        <v>0.8281789836482939</v>
      </c>
      <c r="J458" s="11">
        <f t="shared" ca="1" si="86"/>
        <v>10</v>
      </c>
      <c r="K458" s="24">
        <v>96</v>
      </c>
      <c r="L458" s="24">
        <f t="shared" ca="1" si="87"/>
        <v>100</v>
      </c>
      <c r="M458" s="24">
        <v>400</v>
      </c>
      <c r="N458" s="24">
        <v>20</v>
      </c>
      <c r="O458" s="24">
        <f t="shared" ca="1" si="88"/>
        <v>616</v>
      </c>
      <c r="P458" s="24">
        <v>476</v>
      </c>
      <c r="Q458" s="11">
        <f t="shared" ca="1" si="89"/>
        <v>100</v>
      </c>
      <c r="R458" s="24">
        <v>200</v>
      </c>
      <c r="S458" s="24">
        <v>10</v>
      </c>
      <c r="T458" s="24">
        <f t="shared" ca="1" si="90"/>
        <v>786</v>
      </c>
    </row>
    <row r="459" spans="1:20" x14ac:dyDescent="0.45">
      <c r="A459" s="11">
        <v>446</v>
      </c>
      <c r="B459" s="11">
        <f t="shared" ca="1" si="78"/>
        <v>0.44108215134024698</v>
      </c>
      <c r="C459" s="11">
        <f t="shared" ca="1" si="79"/>
        <v>1200</v>
      </c>
      <c r="D459" s="11">
        <f t="shared" ca="1" si="80"/>
        <v>0.45611547549939202</v>
      </c>
      <c r="E459" s="11">
        <f t="shared" ca="1" si="81"/>
        <v>1200</v>
      </c>
      <c r="F459" s="11">
        <f t="shared" ca="1" si="82"/>
        <v>0.43672628720221307</v>
      </c>
      <c r="G459" s="11">
        <f t="shared" ca="1" si="83"/>
        <v>1200</v>
      </c>
      <c r="H459" s="11">
        <f t="shared" ca="1" si="84"/>
        <v>1200</v>
      </c>
      <c r="I459" s="11">
        <f t="shared" ca="1" si="85"/>
        <v>0.58923098408926189</v>
      </c>
      <c r="J459" s="11">
        <f t="shared" ca="1" si="86"/>
        <v>5</v>
      </c>
      <c r="K459" s="24">
        <v>96</v>
      </c>
      <c r="L459" s="24">
        <f t="shared" ca="1" si="87"/>
        <v>50</v>
      </c>
      <c r="M459" s="24">
        <v>400</v>
      </c>
      <c r="N459" s="24">
        <v>20</v>
      </c>
      <c r="O459" s="24">
        <f t="shared" ca="1" si="88"/>
        <v>566</v>
      </c>
      <c r="P459" s="24">
        <v>477</v>
      </c>
      <c r="Q459" s="11">
        <f t="shared" ca="1" si="89"/>
        <v>50</v>
      </c>
      <c r="R459" s="24">
        <v>200</v>
      </c>
      <c r="S459" s="24">
        <v>10</v>
      </c>
      <c r="T459" s="24">
        <f t="shared" ca="1" si="90"/>
        <v>737</v>
      </c>
    </row>
    <row r="460" spans="1:20" x14ac:dyDescent="0.45">
      <c r="A460" s="11">
        <v>447</v>
      </c>
      <c r="B460" s="11">
        <f t="shared" ca="1" si="78"/>
        <v>0.82325021833657563</v>
      </c>
      <c r="C460" s="11">
        <f t="shared" ca="1" si="79"/>
        <v>1600</v>
      </c>
      <c r="D460" s="11">
        <f t="shared" ca="1" si="80"/>
        <v>0.56564941623951936</v>
      </c>
      <c r="E460" s="11">
        <f t="shared" ca="1" si="81"/>
        <v>1300</v>
      </c>
      <c r="F460" s="11">
        <f t="shared" ca="1" si="82"/>
        <v>0.50765405050562384</v>
      </c>
      <c r="G460" s="11">
        <f t="shared" ca="1" si="83"/>
        <v>1300</v>
      </c>
      <c r="H460" s="11">
        <f t="shared" ca="1" si="84"/>
        <v>1300</v>
      </c>
      <c r="I460" s="11">
        <f t="shared" ca="1" si="85"/>
        <v>0.71654878530418886</v>
      </c>
      <c r="J460" s="11">
        <f t="shared" ca="1" si="86"/>
        <v>10</v>
      </c>
      <c r="K460" s="24">
        <v>96</v>
      </c>
      <c r="L460" s="24">
        <f t="shared" ca="1" si="87"/>
        <v>100</v>
      </c>
      <c r="M460" s="24">
        <v>400</v>
      </c>
      <c r="N460" s="24">
        <v>20</v>
      </c>
      <c r="O460" s="24">
        <f t="shared" ca="1" si="88"/>
        <v>616</v>
      </c>
      <c r="P460" s="24">
        <v>478</v>
      </c>
      <c r="Q460" s="11">
        <f t="shared" ca="1" si="89"/>
        <v>100</v>
      </c>
      <c r="R460" s="24">
        <v>200</v>
      </c>
      <c r="S460" s="24">
        <v>10</v>
      </c>
      <c r="T460" s="24">
        <f t="shared" ca="1" si="90"/>
        <v>788</v>
      </c>
    </row>
    <row r="461" spans="1:20" x14ac:dyDescent="0.45">
      <c r="A461" s="11">
        <v>448</v>
      </c>
      <c r="B461" s="11">
        <f t="shared" ca="1" si="78"/>
        <v>0.70386935851207721</v>
      </c>
      <c r="C461" s="11">
        <f t="shared" ca="1" si="79"/>
        <v>1500</v>
      </c>
      <c r="D461" s="11">
        <f t="shared" ca="1" si="80"/>
        <v>0.9889235007698769</v>
      </c>
      <c r="E461" s="11">
        <f t="shared" ca="1" si="81"/>
        <v>1900</v>
      </c>
      <c r="F461" s="11">
        <f t="shared" ca="1" si="82"/>
        <v>0.84111208556518691</v>
      </c>
      <c r="G461" s="11">
        <f t="shared" ca="1" si="83"/>
        <v>1700</v>
      </c>
      <c r="H461" s="11">
        <f t="shared" ca="1" si="84"/>
        <v>1500</v>
      </c>
      <c r="I461" s="11">
        <f t="shared" ca="1" si="85"/>
        <v>0.11250627984671735</v>
      </c>
      <c r="J461" s="11">
        <f t="shared" ca="1" si="86"/>
        <v>5</v>
      </c>
      <c r="K461" s="24">
        <v>96</v>
      </c>
      <c r="L461" s="24">
        <f t="shared" ca="1" si="87"/>
        <v>50</v>
      </c>
      <c r="M461" s="24">
        <v>400</v>
      </c>
      <c r="N461" s="24">
        <v>20</v>
      </c>
      <c r="O461" s="24">
        <f t="shared" ca="1" si="88"/>
        <v>566</v>
      </c>
      <c r="P461" s="24">
        <v>479</v>
      </c>
      <c r="Q461" s="11">
        <f t="shared" ca="1" si="89"/>
        <v>50</v>
      </c>
      <c r="R461" s="24">
        <v>200</v>
      </c>
      <c r="S461" s="24">
        <v>10</v>
      </c>
      <c r="T461" s="24">
        <f t="shared" ca="1" si="90"/>
        <v>739</v>
      </c>
    </row>
    <row r="462" spans="1:20" x14ac:dyDescent="0.45">
      <c r="A462" s="11">
        <v>449</v>
      </c>
      <c r="B462" s="11">
        <f t="shared" ca="1" si="78"/>
        <v>0.32869060466276967</v>
      </c>
      <c r="C462" s="11">
        <f t="shared" ca="1" si="79"/>
        <v>1200</v>
      </c>
      <c r="D462" s="11">
        <f t="shared" ca="1" si="80"/>
        <v>0.88151321415870743</v>
      </c>
      <c r="E462" s="11">
        <f t="shared" ca="1" si="81"/>
        <v>1700</v>
      </c>
      <c r="F462" s="11">
        <f t="shared" ca="1" si="82"/>
        <v>0.29119760112358406</v>
      </c>
      <c r="G462" s="11">
        <f t="shared" ca="1" si="83"/>
        <v>1200</v>
      </c>
      <c r="H462" s="11">
        <f t="shared" ca="1" si="84"/>
        <v>1200</v>
      </c>
      <c r="I462" s="11">
        <f t="shared" ca="1" si="85"/>
        <v>0.56189735318278977</v>
      </c>
      <c r="J462" s="11">
        <f t="shared" ca="1" si="86"/>
        <v>5</v>
      </c>
      <c r="K462" s="24">
        <v>96</v>
      </c>
      <c r="L462" s="24">
        <f t="shared" ca="1" si="87"/>
        <v>50</v>
      </c>
      <c r="M462" s="24">
        <v>400</v>
      </c>
      <c r="N462" s="24">
        <v>20</v>
      </c>
      <c r="O462" s="24">
        <f t="shared" ca="1" si="88"/>
        <v>566</v>
      </c>
      <c r="P462" s="24">
        <v>480</v>
      </c>
      <c r="Q462" s="11">
        <f t="shared" ca="1" si="89"/>
        <v>50</v>
      </c>
      <c r="R462" s="24">
        <v>200</v>
      </c>
      <c r="S462" s="24">
        <v>10</v>
      </c>
      <c r="T462" s="24">
        <f t="shared" ca="1" si="90"/>
        <v>740</v>
      </c>
    </row>
    <row r="463" spans="1:20" x14ac:dyDescent="0.45">
      <c r="A463" s="11">
        <v>450</v>
      </c>
      <c r="B463" s="11">
        <f t="shared" ref="B463:B526" ca="1" si="91">RAND()</f>
        <v>0.35471508469804736</v>
      </c>
      <c r="C463" s="11">
        <f t="shared" ref="C463:C526" ca="1" si="92">LOOKUP(B463, $C$2:$C$11, $A$2:$A$11)</f>
        <v>1200</v>
      </c>
      <c r="D463" s="11">
        <f t="shared" ref="D463:D526" ca="1" si="93">RAND()</f>
        <v>0.77382692746813841</v>
      </c>
      <c r="E463" s="11">
        <f t="shared" ref="E463:E526" ca="1" si="94">LOOKUP(D463, $C$2:$C$11, $A$2:$A$11)</f>
        <v>1500</v>
      </c>
      <c r="F463" s="11">
        <f t="shared" ref="F463:F526" ca="1" si="95">RAND()</f>
        <v>0.58495548413086429</v>
      </c>
      <c r="G463" s="11">
        <f t="shared" ref="G463:G526" ca="1" si="96">LOOKUP(F463, $C$2:$C$11, $A$2:$A$11)</f>
        <v>1300</v>
      </c>
      <c r="H463" s="11">
        <f t="shared" ref="H463:H526" ca="1" si="97">MIN(C463, E463, G463)</f>
        <v>1200</v>
      </c>
      <c r="I463" s="11">
        <f t="shared" ref="I463:I526" ca="1" si="98">RAND()</f>
        <v>0.83697136111743031</v>
      </c>
      <c r="J463" s="11">
        <f t="shared" ref="J463:J526" ca="1" si="99">LOOKUP(I463, $G$2:$G$4, $E$2:$E$4)</f>
        <v>10</v>
      </c>
      <c r="K463" s="24">
        <v>96</v>
      </c>
      <c r="L463" s="24">
        <f t="shared" ref="L463:L526" ca="1" si="100">J463*10</f>
        <v>100</v>
      </c>
      <c r="M463" s="24">
        <v>400</v>
      </c>
      <c r="N463" s="24">
        <v>20</v>
      </c>
      <c r="O463" s="24">
        <f t="shared" ref="O463:O526" ca="1" si="101">K463+L463+M463+N463</f>
        <v>616</v>
      </c>
      <c r="P463" s="24">
        <v>481</v>
      </c>
      <c r="Q463" s="11">
        <f t="shared" ref="Q463:Q526" ca="1" si="102">J463*10</f>
        <v>100</v>
      </c>
      <c r="R463" s="24">
        <v>200</v>
      </c>
      <c r="S463" s="24">
        <v>10</v>
      </c>
      <c r="T463" s="24">
        <f t="shared" ref="T463:T526" ca="1" si="103">SUM(P463:S463)</f>
        <v>791</v>
      </c>
    </row>
    <row r="464" spans="1:20" x14ac:dyDescent="0.45">
      <c r="A464" s="11">
        <v>451</v>
      </c>
      <c r="B464" s="11">
        <f t="shared" ca="1" si="91"/>
        <v>0.9200838661156866</v>
      </c>
      <c r="C464" s="11">
        <f t="shared" ca="1" si="92"/>
        <v>1800</v>
      </c>
      <c r="D464" s="11">
        <f t="shared" ca="1" si="93"/>
        <v>0.54733921771125749</v>
      </c>
      <c r="E464" s="11">
        <f t="shared" ca="1" si="94"/>
        <v>1300</v>
      </c>
      <c r="F464" s="11">
        <f t="shared" ca="1" si="95"/>
        <v>0.95681610585418952</v>
      </c>
      <c r="G464" s="11">
        <f t="shared" ca="1" si="96"/>
        <v>1900</v>
      </c>
      <c r="H464" s="11">
        <f t="shared" ca="1" si="97"/>
        <v>1300</v>
      </c>
      <c r="I464" s="11">
        <f t="shared" ca="1" si="98"/>
        <v>0.63922204853632603</v>
      </c>
      <c r="J464" s="11">
        <f t="shared" ca="1" si="99"/>
        <v>10</v>
      </c>
      <c r="K464" s="24">
        <v>96</v>
      </c>
      <c r="L464" s="24">
        <f t="shared" ca="1" si="100"/>
        <v>100</v>
      </c>
      <c r="M464" s="24">
        <v>400</v>
      </c>
      <c r="N464" s="24">
        <v>20</v>
      </c>
      <c r="O464" s="24">
        <f t="shared" ca="1" si="101"/>
        <v>616</v>
      </c>
      <c r="P464" s="24">
        <v>482</v>
      </c>
      <c r="Q464" s="11">
        <f t="shared" ca="1" si="102"/>
        <v>100</v>
      </c>
      <c r="R464" s="24">
        <v>200</v>
      </c>
      <c r="S464" s="24">
        <v>10</v>
      </c>
      <c r="T464" s="24">
        <f t="shared" ca="1" si="103"/>
        <v>792</v>
      </c>
    </row>
    <row r="465" spans="1:20" x14ac:dyDescent="0.45">
      <c r="A465" s="11">
        <v>452</v>
      </c>
      <c r="B465" s="11">
        <f t="shared" ca="1" si="91"/>
        <v>0.85369828125447766</v>
      </c>
      <c r="C465" s="11">
        <f t="shared" ca="1" si="92"/>
        <v>1700</v>
      </c>
      <c r="D465" s="11">
        <f t="shared" ca="1" si="93"/>
        <v>6.9279597934275183E-2</v>
      </c>
      <c r="E465" s="11">
        <f t="shared" ca="1" si="94"/>
        <v>1000</v>
      </c>
      <c r="F465" s="11">
        <f t="shared" ca="1" si="95"/>
        <v>0.43781693973906211</v>
      </c>
      <c r="G465" s="11">
        <f t="shared" ca="1" si="96"/>
        <v>1200</v>
      </c>
      <c r="H465" s="11">
        <f t="shared" ca="1" si="97"/>
        <v>1000</v>
      </c>
      <c r="I465" s="11">
        <f t="shared" ca="1" si="98"/>
        <v>0.6499469458179683</v>
      </c>
      <c r="J465" s="11">
        <f t="shared" ca="1" si="99"/>
        <v>10</v>
      </c>
      <c r="K465" s="24">
        <v>96</v>
      </c>
      <c r="L465" s="24">
        <f t="shared" ca="1" si="100"/>
        <v>100</v>
      </c>
      <c r="M465" s="24">
        <v>400</v>
      </c>
      <c r="N465" s="24">
        <v>20</v>
      </c>
      <c r="O465" s="24">
        <f t="shared" ca="1" si="101"/>
        <v>616</v>
      </c>
      <c r="P465" s="24">
        <v>483</v>
      </c>
      <c r="Q465" s="11">
        <f t="shared" ca="1" si="102"/>
        <v>100</v>
      </c>
      <c r="R465" s="24">
        <v>200</v>
      </c>
      <c r="S465" s="24">
        <v>10</v>
      </c>
      <c r="T465" s="24">
        <f t="shared" ca="1" si="103"/>
        <v>793</v>
      </c>
    </row>
    <row r="466" spans="1:20" x14ac:dyDescent="0.45">
      <c r="A466" s="11">
        <v>453</v>
      </c>
      <c r="B466" s="11">
        <f t="shared" ca="1" si="91"/>
        <v>0.50255827232498562</v>
      </c>
      <c r="C466" s="11">
        <f t="shared" ca="1" si="92"/>
        <v>1300</v>
      </c>
      <c r="D466" s="11">
        <f t="shared" ca="1" si="93"/>
        <v>1.8775714559489454E-2</v>
      </c>
      <c r="E466" s="11">
        <f t="shared" ca="1" si="94"/>
        <v>1000</v>
      </c>
      <c r="F466" s="11">
        <f t="shared" ca="1" si="95"/>
        <v>0.90763337473657246</v>
      </c>
      <c r="G466" s="11">
        <f t="shared" ca="1" si="96"/>
        <v>1800</v>
      </c>
      <c r="H466" s="11">
        <f t="shared" ca="1" si="97"/>
        <v>1000</v>
      </c>
      <c r="I466" s="11">
        <f t="shared" ca="1" si="98"/>
        <v>0.40098071784765943</v>
      </c>
      <c r="J466" s="11">
        <f t="shared" ca="1" si="99"/>
        <v>5</v>
      </c>
      <c r="K466" s="24">
        <v>96</v>
      </c>
      <c r="L466" s="24">
        <f t="shared" ca="1" si="100"/>
        <v>50</v>
      </c>
      <c r="M466" s="24">
        <v>400</v>
      </c>
      <c r="N466" s="24">
        <v>20</v>
      </c>
      <c r="O466" s="24">
        <f t="shared" ca="1" si="101"/>
        <v>566</v>
      </c>
      <c r="P466" s="24">
        <v>484</v>
      </c>
      <c r="Q466" s="11">
        <f t="shared" ca="1" si="102"/>
        <v>50</v>
      </c>
      <c r="R466" s="24">
        <v>200</v>
      </c>
      <c r="S466" s="24">
        <v>10</v>
      </c>
      <c r="T466" s="24">
        <f t="shared" ca="1" si="103"/>
        <v>744</v>
      </c>
    </row>
    <row r="467" spans="1:20" x14ac:dyDescent="0.45">
      <c r="A467" s="11">
        <v>454</v>
      </c>
      <c r="B467" s="11">
        <f t="shared" ca="1" si="91"/>
        <v>0.80057224137234761</v>
      </c>
      <c r="C467" s="11">
        <f t="shared" ca="1" si="92"/>
        <v>1500</v>
      </c>
      <c r="D467" s="11">
        <f t="shared" ca="1" si="93"/>
        <v>0.84276341021698331</v>
      </c>
      <c r="E467" s="11">
        <f t="shared" ca="1" si="94"/>
        <v>1700</v>
      </c>
      <c r="F467" s="11">
        <f t="shared" ca="1" si="95"/>
        <v>2.2883328213794685E-2</v>
      </c>
      <c r="G467" s="11">
        <f t="shared" ca="1" si="96"/>
        <v>1000</v>
      </c>
      <c r="H467" s="11">
        <f t="shared" ca="1" si="97"/>
        <v>1000</v>
      </c>
      <c r="I467" s="11">
        <f t="shared" ca="1" si="98"/>
        <v>0.67666007981741028</v>
      </c>
      <c r="J467" s="11">
        <f t="shared" ca="1" si="99"/>
        <v>10</v>
      </c>
      <c r="K467" s="24">
        <v>96</v>
      </c>
      <c r="L467" s="24">
        <f t="shared" ca="1" si="100"/>
        <v>100</v>
      </c>
      <c r="M467" s="24">
        <v>400</v>
      </c>
      <c r="N467" s="24">
        <v>20</v>
      </c>
      <c r="O467" s="24">
        <f t="shared" ca="1" si="101"/>
        <v>616</v>
      </c>
      <c r="P467" s="24">
        <v>485</v>
      </c>
      <c r="Q467" s="11">
        <f t="shared" ca="1" si="102"/>
        <v>100</v>
      </c>
      <c r="R467" s="24">
        <v>200</v>
      </c>
      <c r="S467" s="24">
        <v>10</v>
      </c>
      <c r="T467" s="24">
        <f t="shared" ca="1" si="103"/>
        <v>795</v>
      </c>
    </row>
    <row r="468" spans="1:20" x14ac:dyDescent="0.45">
      <c r="A468" s="11">
        <v>455</v>
      </c>
      <c r="B468" s="11">
        <f t="shared" ca="1" si="91"/>
        <v>8.1647784662499778E-2</v>
      </c>
      <c r="C468" s="11">
        <f t="shared" ca="1" si="92"/>
        <v>1000</v>
      </c>
      <c r="D468" s="11">
        <f t="shared" ca="1" si="93"/>
        <v>0.43012720575626329</v>
      </c>
      <c r="E468" s="11">
        <f t="shared" ca="1" si="94"/>
        <v>1200</v>
      </c>
      <c r="F468" s="11">
        <f t="shared" ca="1" si="95"/>
        <v>0.18868111514559549</v>
      </c>
      <c r="G468" s="11">
        <f t="shared" ca="1" si="96"/>
        <v>1100</v>
      </c>
      <c r="H468" s="11">
        <f t="shared" ca="1" si="97"/>
        <v>1000</v>
      </c>
      <c r="I468" s="11">
        <f t="shared" ca="1" si="98"/>
        <v>0.29446070461290352</v>
      </c>
      <c r="J468" s="11">
        <f t="shared" ca="1" si="99"/>
        <v>5</v>
      </c>
      <c r="K468" s="24">
        <v>96</v>
      </c>
      <c r="L468" s="24">
        <f t="shared" ca="1" si="100"/>
        <v>50</v>
      </c>
      <c r="M468" s="24">
        <v>400</v>
      </c>
      <c r="N468" s="24">
        <v>20</v>
      </c>
      <c r="O468" s="24">
        <f t="shared" ca="1" si="101"/>
        <v>566</v>
      </c>
      <c r="P468" s="24">
        <v>486</v>
      </c>
      <c r="Q468" s="11">
        <f t="shared" ca="1" si="102"/>
        <v>50</v>
      </c>
      <c r="R468" s="24">
        <v>200</v>
      </c>
      <c r="S468" s="24">
        <v>10</v>
      </c>
      <c r="T468" s="24">
        <f t="shared" ca="1" si="103"/>
        <v>746</v>
      </c>
    </row>
    <row r="469" spans="1:20" x14ac:dyDescent="0.45">
      <c r="A469" s="11">
        <v>456</v>
      </c>
      <c r="B469" s="11">
        <f t="shared" ca="1" si="91"/>
        <v>0.52212549436396094</v>
      </c>
      <c r="C469" s="11">
        <f t="shared" ca="1" si="92"/>
        <v>1300</v>
      </c>
      <c r="D469" s="11">
        <f t="shared" ca="1" si="93"/>
        <v>0.85917809017656865</v>
      </c>
      <c r="E469" s="11">
        <f t="shared" ca="1" si="94"/>
        <v>1700</v>
      </c>
      <c r="F469" s="11">
        <f t="shared" ca="1" si="95"/>
        <v>0.32677435053480097</v>
      </c>
      <c r="G469" s="11">
        <f t="shared" ca="1" si="96"/>
        <v>1200</v>
      </c>
      <c r="H469" s="11">
        <f t="shared" ca="1" si="97"/>
        <v>1200</v>
      </c>
      <c r="I469" s="11">
        <f t="shared" ca="1" si="98"/>
        <v>0.3444316624657221</v>
      </c>
      <c r="J469" s="11">
        <f t="shared" ca="1" si="99"/>
        <v>5</v>
      </c>
      <c r="K469" s="24">
        <v>96</v>
      </c>
      <c r="L469" s="24">
        <f t="shared" ca="1" si="100"/>
        <v>50</v>
      </c>
      <c r="M469" s="24">
        <v>400</v>
      </c>
      <c r="N469" s="24">
        <v>20</v>
      </c>
      <c r="O469" s="24">
        <f t="shared" ca="1" si="101"/>
        <v>566</v>
      </c>
      <c r="P469" s="24">
        <v>487</v>
      </c>
      <c r="Q469" s="11">
        <f t="shared" ca="1" si="102"/>
        <v>50</v>
      </c>
      <c r="R469" s="24">
        <v>200</v>
      </c>
      <c r="S469" s="24">
        <v>10</v>
      </c>
      <c r="T469" s="24">
        <f t="shared" ca="1" si="103"/>
        <v>747</v>
      </c>
    </row>
    <row r="470" spans="1:20" x14ac:dyDescent="0.45">
      <c r="A470" s="11">
        <v>457</v>
      </c>
      <c r="B470" s="11">
        <f t="shared" ca="1" si="91"/>
        <v>0.15482131979494618</v>
      </c>
      <c r="C470" s="11">
        <f t="shared" ca="1" si="92"/>
        <v>1100</v>
      </c>
      <c r="D470" s="11">
        <f t="shared" ca="1" si="93"/>
        <v>0.7323586763416331</v>
      </c>
      <c r="E470" s="11">
        <f t="shared" ca="1" si="94"/>
        <v>1500</v>
      </c>
      <c r="F470" s="11">
        <f t="shared" ca="1" si="95"/>
        <v>0.17172180954817051</v>
      </c>
      <c r="G470" s="11">
        <f t="shared" ca="1" si="96"/>
        <v>1100</v>
      </c>
      <c r="H470" s="11">
        <f t="shared" ca="1" si="97"/>
        <v>1100</v>
      </c>
      <c r="I470" s="11">
        <f t="shared" ca="1" si="98"/>
        <v>0.85761161722552448</v>
      </c>
      <c r="J470" s="11">
        <f t="shared" ca="1" si="99"/>
        <v>10</v>
      </c>
      <c r="K470" s="24">
        <v>96</v>
      </c>
      <c r="L470" s="24">
        <f t="shared" ca="1" si="100"/>
        <v>100</v>
      </c>
      <c r="M470" s="24">
        <v>400</v>
      </c>
      <c r="N470" s="24">
        <v>20</v>
      </c>
      <c r="O470" s="24">
        <f t="shared" ca="1" si="101"/>
        <v>616</v>
      </c>
      <c r="P470" s="24">
        <v>488</v>
      </c>
      <c r="Q470" s="11">
        <f t="shared" ca="1" si="102"/>
        <v>100</v>
      </c>
      <c r="R470" s="24">
        <v>200</v>
      </c>
      <c r="S470" s="24">
        <v>10</v>
      </c>
      <c r="T470" s="24">
        <f t="shared" ca="1" si="103"/>
        <v>798</v>
      </c>
    </row>
    <row r="471" spans="1:20" x14ac:dyDescent="0.45">
      <c r="A471" s="11">
        <v>458</v>
      </c>
      <c r="B471" s="11">
        <f t="shared" ca="1" si="91"/>
        <v>0.90664021108040838</v>
      </c>
      <c r="C471" s="11">
        <f t="shared" ca="1" si="92"/>
        <v>1800</v>
      </c>
      <c r="D471" s="11">
        <f t="shared" ca="1" si="93"/>
        <v>3.9209030956487867E-2</v>
      </c>
      <c r="E471" s="11">
        <f t="shared" ca="1" si="94"/>
        <v>1000</v>
      </c>
      <c r="F471" s="11">
        <f t="shared" ca="1" si="95"/>
        <v>0.60093525783846968</v>
      </c>
      <c r="G471" s="11">
        <f t="shared" ca="1" si="96"/>
        <v>1300</v>
      </c>
      <c r="H471" s="11">
        <f t="shared" ca="1" si="97"/>
        <v>1000</v>
      </c>
      <c r="I471" s="11">
        <f t="shared" ca="1" si="98"/>
        <v>0.30910503077885165</v>
      </c>
      <c r="J471" s="11">
        <f t="shared" ca="1" si="99"/>
        <v>5</v>
      </c>
      <c r="K471" s="24">
        <v>96</v>
      </c>
      <c r="L471" s="24">
        <f t="shared" ca="1" si="100"/>
        <v>50</v>
      </c>
      <c r="M471" s="24">
        <v>400</v>
      </c>
      <c r="N471" s="24">
        <v>20</v>
      </c>
      <c r="O471" s="24">
        <f t="shared" ca="1" si="101"/>
        <v>566</v>
      </c>
      <c r="P471" s="24">
        <v>489</v>
      </c>
      <c r="Q471" s="11">
        <f t="shared" ca="1" si="102"/>
        <v>50</v>
      </c>
      <c r="R471" s="24">
        <v>200</v>
      </c>
      <c r="S471" s="24">
        <v>10</v>
      </c>
      <c r="T471" s="24">
        <f t="shared" ca="1" si="103"/>
        <v>749</v>
      </c>
    </row>
    <row r="472" spans="1:20" x14ac:dyDescent="0.45">
      <c r="A472" s="11">
        <v>459</v>
      </c>
      <c r="B472" s="11">
        <f t="shared" ca="1" si="91"/>
        <v>0.46450934294760082</v>
      </c>
      <c r="C472" s="11">
        <f t="shared" ca="1" si="92"/>
        <v>1200</v>
      </c>
      <c r="D472" s="11">
        <f t="shared" ca="1" si="93"/>
        <v>0.37368265691337099</v>
      </c>
      <c r="E472" s="11">
        <f t="shared" ca="1" si="94"/>
        <v>1200</v>
      </c>
      <c r="F472" s="11">
        <f t="shared" ca="1" si="95"/>
        <v>0.54290852810401347</v>
      </c>
      <c r="G472" s="11">
        <f t="shared" ca="1" si="96"/>
        <v>1300</v>
      </c>
      <c r="H472" s="11">
        <f t="shared" ca="1" si="97"/>
        <v>1200</v>
      </c>
      <c r="I472" s="11">
        <f t="shared" ca="1" si="98"/>
        <v>3.650222973051076E-2</v>
      </c>
      <c r="J472" s="11">
        <f t="shared" ca="1" si="99"/>
        <v>5</v>
      </c>
      <c r="K472" s="24">
        <v>96</v>
      </c>
      <c r="L472" s="24">
        <f t="shared" ca="1" si="100"/>
        <v>50</v>
      </c>
      <c r="M472" s="24">
        <v>400</v>
      </c>
      <c r="N472" s="24">
        <v>20</v>
      </c>
      <c r="O472" s="24">
        <f t="shared" ca="1" si="101"/>
        <v>566</v>
      </c>
      <c r="P472" s="24">
        <v>490</v>
      </c>
      <c r="Q472" s="11">
        <f t="shared" ca="1" si="102"/>
        <v>50</v>
      </c>
      <c r="R472" s="24">
        <v>200</v>
      </c>
      <c r="S472" s="24">
        <v>10</v>
      </c>
      <c r="T472" s="24">
        <f t="shared" ca="1" si="103"/>
        <v>750</v>
      </c>
    </row>
    <row r="473" spans="1:20" x14ac:dyDescent="0.45">
      <c r="A473" s="11">
        <v>460</v>
      </c>
      <c r="B473" s="11">
        <f t="shared" ca="1" si="91"/>
        <v>0.27655828568964913</v>
      </c>
      <c r="C473" s="11">
        <f t="shared" ca="1" si="92"/>
        <v>1200</v>
      </c>
      <c r="D473" s="11">
        <f t="shared" ca="1" si="93"/>
        <v>0.83851240766853452</v>
      </c>
      <c r="E473" s="11">
        <f t="shared" ca="1" si="94"/>
        <v>1600</v>
      </c>
      <c r="F473" s="11">
        <f t="shared" ca="1" si="95"/>
        <v>0.83789045631917669</v>
      </c>
      <c r="G473" s="11">
        <f t="shared" ca="1" si="96"/>
        <v>1600</v>
      </c>
      <c r="H473" s="11">
        <f t="shared" ca="1" si="97"/>
        <v>1200</v>
      </c>
      <c r="I473" s="11">
        <f t="shared" ca="1" si="98"/>
        <v>0.15087138606833816</v>
      </c>
      <c r="J473" s="11">
        <f t="shared" ca="1" si="99"/>
        <v>5</v>
      </c>
      <c r="K473" s="24">
        <v>96</v>
      </c>
      <c r="L473" s="24">
        <f t="shared" ca="1" si="100"/>
        <v>50</v>
      </c>
      <c r="M473" s="24">
        <v>400</v>
      </c>
      <c r="N473" s="24">
        <v>20</v>
      </c>
      <c r="O473" s="24">
        <f t="shared" ca="1" si="101"/>
        <v>566</v>
      </c>
      <c r="P473" s="24">
        <v>491</v>
      </c>
      <c r="Q473" s="11">
        <f t="shared" ca="1" si="102"/>
        <v>50</v>
      </c>
      <c r="R473" s="24">
        <v>200</v>
      </c>
      <c r="S473" s="24">
        <v>10</v>
      </c>
      <c r="T473" s="24">
        <f t="shared" ca="1" si="103"/>
        <v>751</v>
      </c>
    </row>
    <row r="474" spans="1:20" x14ac:dyDescent="0.45">
      <c r="A474" s="11">
        <v>461</v>
      </c>
      <c r="B474" s="11">
        <f t="shared" ca="1" si="91"/>
        <v>0.72014424480759409</v>
      </c>
      <c r="C474" s="11">
        <f t="shared" ca="1" si="92"/>
        <v>1500</v>
      </c>
      <c r="D474" s="11">
        <f t="shared" ca="1" si="93"/>
        <v>0.18329596693779415</v>
      </c>
      <c r="E474" s="11">
        <f t="shared" ca="1" si="94"/>
        <v>1100</v>
      </c>
      <c r="F474" s="11">
        <f t="shared" ca="1" si="95"/>
        <v>0.33221475630326491</v>
      </c>
      <c r="G474" s="11">
        <f t="shared" ca="1" si="96"/>
        <v>1200</v>
      </c>
      <c r="H474" s="11">
        <f t="shared" ca="1" si="97"/>
        <v>1100</v>
      </c>
      <c r="I474" s="11">
        <f t="shared" ca="1" si="98"/>
        <v>0.29134263567077667</v>
      </c>
      <c r="J474" s="11">
        <f t="shared" ca="1" si="99"/>
        <v>5</v>
      </c>
      <c r="K474" s="24">
        <v>96</v>
      </c>
      <c r="L474" s="24">
        <f t="shared" ca="1" si="100"/>
        <v>50</v>
      </c>
      <c r="M474" s="24">
        <v>400</v>
      </c>
      <c r="N474" s="24">
        <v>20</v>
      </c>
      <c r="O474" s="24">
        <f t="shared" ca="1" si="101"/>
        <v>566</v>
      </c>
      <c r="P474" s="24">
        <v>492</v>
      </c>
      <c r="Q474" s="11">
        <f t="shared" ca="1" si="102"/>
        <v>50</v>
      </c>
      <c r="R474" s="24">
        <v>200</v>
      </c>
      <c r="S474" s="24">
        <v>10</v>
      </c>
      <c r="T474" s="24">
        <f t="shared" ca="1" si="103"/>
        <v>752</v>
      </c>
    </row>
    <row r="475" spans="1:20" x14ac:dyDescent="0.45">
      <c r="A475" s="11">
        <v>462</v>
      </c>
      <c r="B475" s="11">
        <f t="shared" ca="1" si="91"/>
        <v>0.97627807891395235</v>
      </c>
      <c r="C475" s="11">
        <f t="shared" ca="1" si="92"/>
        <v>1900</v>
      </c>
      <c r="D475" s="11">
        <f t="shared" ca="1" si="93"/>
        <v>0.50503069195997319</v>
      </c>
      <c r="E475" s="11">
        <f t="shared" ca="1" si="94"/>
        <v>1300</v>
      </c>
      <c r="F475" s="11">
        <f t="shared" ca="1" si="95"/>
        <v>0.38639127354913672</v>
      </c>
      <c r="G475" s="11">
        <f t="shared" ca="1" si="96"/>
        <v>1200</v>
      </c>
      <c r="H475" s="11">
        <f t="shared" ca="1" si="97"/>
        <v>1200</v>
      </c>
      <c r="I475" s="11">
        <f t="shared" ca="1" si="98"/>
        <v>0.38136029326433263</v>
      </c>
      <c r="J475" s="11">
        <f t="shared" ca="1" si="99"/>
        <v>5</v>
      </c>
      <c r="K475" s="24">
        <v>96</v>
      </c>
      <c r="L475" s="24">
        <f t="shared" ca="1" si="100"/>
        <v>50</v>
      </c>
      <c r="M475" s="24">
        <v>400</v>
      </c>
      <c r="N475" s="24">
        <v>20</v>
      </c>
      <c r="O475" s="24">
        <f t="shared" ca="1" si="101"/>
        <v>566</v>
      </c>
      <c r="P475" s="24">
        <v>493</v>
      </c>
      <c r="Q475" s="11">
        <f t="shared" ca="1" si="102"/>
        <v>50</v>
      </c>
      <c r="R475" s="24">
        <v>200</v>
      </c>
      <c r="S475" s="24">
        <v>10</v>
      </c>
      <c r="T475" s="24">
        <f t="shared" ca="1" si="103"/>
        <v>753</v>
      </c>
    </row>
    <row r="476" spans="1:20" x14ac:dyDescent="0.45">
      <c r="A476" s="11">
        <v>463</v>
      </c>
      <c r="B476" s="11">
        <f t="shared" ca="1" si="91"/>
        <v>0.90005817374617925</v>
      </c>
      <c r="C476" s="11">
        <f t="shared" ca="1" si="92"/>
        <v>1800</v>
      </c>
      <c r="D476" s="11">
        <f t="shared" ca="1" si="93"/>
        <v>0.73482640975274982</v>
      </c>
      <c r="E476" s="11">
        <f t="shared" ca="1" si="94"/>
        <v>1500</v>
      </c>
      <c r="F476" s="11">
        <f t="shared" ca="1" si="95"/>
        <v>0.54445569247044112</v>
      </c>
      <c r="G476" s="11">
        <f t="shared" ca="1" si="96"/>
        <v>1300</v>
      </c>
      <c r="H476" s="11">
        <f t="shared" ca="1" si="97"/>
        <v>1300</v>
      </c>
      <c r="I476" s="11">
        <f t="shared" ca="1" si="98"/>
        <v>6.1994443409911892E-2</v>
      </c>
      <c r="J476" s="11">
        <f t="shared" ca="1" si="99"/>
        <v>5</v>
      </c>
      <c r="K476" s="24">
        <v>96</v>
      </c>
      <c r="L476" s="24">
        <f t="shared" ca="1" si="100"/>
        <v>50</v>
      </c>
      <c r="M476" s="24">
        <v>400</v>
      </c>
      <c r="N476" s="24">
        <v>20</v>
      </c>
      <c r="O476" s="24">
        <f t="shared" ca="1" si="101"/>
        <v>566</v>
      </c>
      <c r="P476" s="24">
        <v>494</v>
      </c>
      <c r="Q476" s="11">
        <f t="shared" ca="1" si="102"/>
        <v>50</v>
      </c>
      <c r="R476" s="24">
        <v>200</v>
      </c>
      <c r="S476" s="24">
        <v>10</v>
      </c>
      <c r="T476" s="24">
        <f t="shared" ca="1" si="103"/>
        <v>754</v>
      </c>
    </row>
    <row r="477" spans="1:20" x14ac:dyDescent="0.45">
      <c r="A477" s="11">
        <v>464</v>
      </c>
      <c r="B477" s="11">
        <f t="shared" ca="1" si="91"/>
        <v>1.9284199544630343E-2</v>
      </c>
      <c r="C477" s="11">
        <f t="shared" ca="1" si="92"/>
        <v>1000</v>
      </c>
      <c r="D477" s="11">
        <f t="shared" ca="1" si="93"/>
        <v>0.50236577420793127</v>
      </c>
      <c r="E477" s="11">
        <f t="shared" ca="1" si="94"/>
        <v>1300</v>
      </c>
      <c r="F477" s="11">
        <f t="shared" ca="1" si="95"/>
        <v>0.34486859958099614</v>
      </c>
      <c r="G477" s="11">
        <f t="shared" ca="1" si="96"/>
        <v>1200</v>
      </c>
      <c r="H477" s="11">
        <f t="shared" ca="1" si="97"/>
        <v>1000</v>
      </c>
      <c r="I477" s="11">
        <f t="shared" ca="1" si="98"/>
        <v>0.27362879524670769</v>
      </c>
      <c r="J477" s="11">
        <f t="shared" ca="1" si="99"/>
        <v>5</v>
      </c>
      <c r="K477" s="24">
        <v>96</v>
      </c>
      <c r="L477" s="24">
        <f t="shared" ca="1" si="100"/>
        <v>50</v>
      </c>
      <c r="M477" s="24">
        <v>400</v>
      </c>
      <c r="N477" s="24">
        <v>20</v>
      </c>
      <c r="O477" s="24">
        <f t="shared" ca="1" si="101"/>
        <v>566</v>
      </c>
      <c r="P477" s="24">
        <v>495</v>
      </c>
      <c r="Q477" s="11">
        <f t="shared" ca="1" si="102"/>
        <v>50</v>
      </c>
      <c r="R477" s="24">
        <v>200</v>
      </c>
      <c r="S477" s="24">
        <v>10</v>
      </c>
      <c r="T477" s="24">
        <f t="shared" ca="1" si="103"/>
        <v>755</v>
      </c>
    </row>
    <row r="478" spans="1:20" x14ac:dyDescent="0.45">
      <c r="A478" s="11">
        <v>465</v>
      </c>
      <c r="B478" s="11">
        <f t="shared" ca="1" si="91"/>
        <v>2.7122792910964866E-2</v>
      </c>
      <c r="C478" s="11">
        <f t="shared" ca="1" si="92"/>
        <v>1000</v>
      </c>
      <c r="D478" s="11">
        <f t="shared" ca="1" si="93"/>
        <v>0.44900087140846223</v>
      </c>
      <c r="E478" s="11">
        <f t="shared" ca="1" si="94"/>
        <v>1200</v>
      </c>
      <c r="F478" s="11">
        <f t="shared" ca="1" si="95"/>
        <v>0.66698718269045632</v>
      </c>
      <c r="G478" s="11">
        <f t="shared" ca="1" si="96"/>
        <v>1400</v>
      </c>
      <c r="H478" s="11">
        <f t="shared" ca="1" si="97"/>
        <v>1000</v>
      </c>
      <c r="I478" s="11">
        <f t="shared" ca="1" si="98"/>
        <v>0.86913774388751064</v>
      </c>
      <c r="J478" s="11">
        <f t="shared" ca="1" si="99"/>
        <v>10</v>
      </c>
      <c r="K478" s="24">
        <v>96</v>
      </c>
      <c r="L478" s="24">
        <f t="shared" ca="1" si="100"/>
        <v>100</v>
      </c>
      <c r="M478" s="24">
        <v>400</v>
      </c>
      <c r="N478" s="24">
        <v>20</v>
      </c>
      <c r="O478" s="24">
        <f t="shared" ca="1" si="101"/>
        <v>616</v>
      </c>
      <c r="P478" s="24">
        <v>496</v>
      </c>
      <c r="Q478" s="11">
        <f t="shared" ca="1" si="102"/>
        <v>100</v>
      </c>
      <c r="R478" s="24">
        <v>200</v>
      </c>
      <c r="S478" s="24">
        <v>10</v>
      </c>
      <c r="T478" s="24">
        <f t="shared" ca="1" si="103"/>
        <v>806</v>
      </c>
    </row>
    <row r="479" spans="1:20" x14ac:dyDescent="0.45">
      <c r="A479" s="11">
        <v>466</v>
      </c>
      <c r="B479" s="11">
        <f t="shared" ca="1" si="91"/>
        <v>0.48170006418035161</v>
      </c>
      <c r="C479" s="11">
        <f t="shared" ca="1" si="92"/>
        <v>1300</v>
      </c>
      <c r="D479" s="11">
        <f t="shared" ca="1" si="93"/>
        <v>0.47331443435644416</v>
      </c>
      <c r="E479" s="11">
        <f t="shared" ca="1" si="94"/>
        <v>1200</v>
      </c>
      <c r="F479" s="11">
        <f t="shared" ca="1" si="95"/>
        <v>0.11458730650478777</v>
      </c>
      <c r="G479" s="11">
        <f t="shared" ca="1" si="96"/>
        <v>1100</v>
      </c>
      <c r="H479" s="11">
        <f t="shared" ca="1" si="97"/>
        <v>1100</v>
      </c>
      <c r="I479" s="11">
        <f t="shared" ca="1" si="98"/>
        <v>0.39173681744713762</v>
      </c>
      <c r="J479" s="11">
        <f t="shared" ca="1" si="99"/>
        <v>5</v>
      </c>
      <c r="K479" s="24">
        <v>96</v>
      </c>
      <c r="L479" s="24">
        <f t="shared" ca="1" si="100"/>
        <v>50</v>
      </c>
      <c r="M479" s="24">
        <v>400</v>
      </c>
      <c r="N479" s="24">
        <v>20</v>
      </c>
      <c r="O479" s="24">
        <f t="shared" ca="1" si="101"/>
        <v>566</v>
      </c>
      <c r="P479" s="24">
        <v>497</v>
      </c>
      <c r="Q479" s="11">
        <f t="shared" ca="1" si="102"/>
        <v>50</v>
      </c>
      <c r="R479" s="24">
        <v>200</v>
      </c>
      <c r="S479" s="24">
        <v>10</v>
      </c>
      <c r="T479" s="24">
        <f t="shared" ca="1" si="103"/>
        <v>757</v>
      </c>
    </row>
    <row r="480" spans="1:20" x14ac:dyDescent="0.45">
      <c r="A480" s="11">
        <v>467</v>
      </c>
      <c r="B480" s="11">
        <f t="shared" ca="1" si="91"/>
        <v>0.6162523028076522</v>
      </c>
      <c r="C480" s="11">
        <f t="shared" ca="1" si="92"/>
        <v>1400</v>
      </c>
      <c r="D480" s="11">
        <f t="shared" ca="1" si="93"/>
        <v>0.91330447963986594</v>
      </c>
      <c r="E480" s="11">
        <f t="shared" ca="1" si="94"/>
        <v>1800</v>
      </c>
      <c r="F480" s="11">
        <f t="shared" ca="1" si="95"/>
        <v>0.96666382638237103</v>
      </c>
      <c r="G480" s="11">
        <f t="shared" ca="1" si="96"/>
        <v>1900</v>
      </c>
      <c r="H480" s="11">
        <f t="shared" ca="1" si="97"/>
        <v>1400</v>
      </c>
      <c r="I480" s="11">
        <f t="shared" ca="1" si="98"/>
        <v>0.71157693848670145</v>
      </c>
      <c r="J480" s="11">
        <f t="shared" ca="1" si="99"/>
        <v>10</v>
      </c>
      <c r="K480" s="24">
        <v>96</v>
      </c>
      <c r="L480" s="24">
        <f t="shared" ca="1" si="100"/>
        <v>100</v>
      </c>
      <c r="M480" s="24">
        <v>400</v>
      </c>
      <c r="N480" s="24">
        <v>20</v>
      </c>
      <c r="O480" s="24">
        <f t="shared" ca="1" si="101"/>
        <v>616</v>
      </c>
      <c r="P480" s="24">
        <v>498</v>
      </c>
      <c r="Q480" s="11">
        <f t="shared" ca="1" si="102"/>
        <v>100</v>
      </c>
      <c r="R480" s="24">
        <v>200</v>
      </c>
      <c r="S480" s="24">
        <v>10</v>
      </c>
      <c r="T480" s="24">
        <f t="shared" ca="1" si="103"/>
        <v>808</v>
      </c>
    </row>
    <row r="481" spans="1:20" x14ac:dyDescent="0.45">
      <c r="A481" s="11">
        <v>468</v>
      </c>
      <c r="B481" s="11">
        <f t="shared" ca="1" si="91"/>
        <v>0.33720244150723488</v>
      </c>
      <c r="C481" s="11">
        <f t="shared" ca="1" si="92"/>
        <v>1200</v>
      </c>
      <c r="D481" s="11">
        <f t="shared" ca="1" si="93"/>
        <v>0.4697362012370625</v>
      </c>
      <c r="E481" s="11">
        <f t="shared" ca="1" si="94"/>
        <v>1200</v>
      </c>
      <c r="F481" s="11">
        <f t="shared" ca="1" si="95"/>
        <v>0.73535490384181168</v>
      </c>
      <c r="G481" s="11">
        <f t="shared" ca="1" si="96"/>
        <v>1500</v>
      </c>
      <c r="H481" s="11">
        <f t="shared" ca="1" si="97"/>
        <v>1200</v>
      </c>
      <c r="I481" s="11">
        <f t="shared" ca="1" si="98"/>
        <v>0.88582824439826047</v>
      </c>
      <c r="J481" s="11">
        <f t="shared" ca="1" si="99"/>
        <v>10</v>
      </c>
      <c r="K481" s="24">
        <v>96</v>
      </c>
      <c r="L481" s="24">
        <f t="shared" ca="1" si="100"/>
        <v>100</v>
      </c>
      <c r="M481" s="24">
        <v>400</v>
      </c>
      <c r="N481" s="24">
        <v>20</v>
      </c>
      <c r="O481" s="24">
        <f t="shared" ca="1" si="101"/>
        <v>616</v>
      </c>
      <c r="P481" s="24">
        <v>499</v>
      </c>
      <c r="Q481" s="11">
        <f t="shared" ca="1" si="102"/>
        <v>100</v>
      </c>
      <c r="R481" s="24">
        <v>200</v>
      </c>
      <c r="S481" s="24">
        <v>10</v>
      </c>
      <c r="T481" s="24">
        <f t="shared" ca="1" si="103"/>
        <v>809</v>
      </c>
    </row>
    <row r="482" spans="1:20" x14ac:dyDescent="0.45">
      <c r="A482" s="11">
        <v>469</v>
      </c>
      <c r="B482" s="11">
        <f t="shared" ca="1" si="91"/>
        <v>0.35754323153002221</v>
      </c>
      <c r="C482" s="11">
        <f t="shared" ca="1" si="92"/>
        <v>1200</v>
      </c>
      <c r="D482" s="11">
        <f t="shared" ca="1" si="93"/>
        <v>0.794535302149046</v>
      </c>
      <c r="E482" s="11">
        <f t="shared" ca="1" si="94"/>
        <v>1500</v>
      </c>
      <c r="F482" s="11">
        <f t="shared" ca="1" si="95"/>
        <v>0.31884426899146789</v>
      </c>
      <c r="G482" s="11">
        <f t="shared" ca="1" si="96"/>
        <v>1200</v>
      </c>
      <c r="H482" s="11">
        <f t="shared" ca="1" si="97"/>
        <v>1200</v>
      </c>
      <c r="I482" s="11">
        <f t="shared" ca="1" si="98"/>
        <v>0.92517228907919147</v>
      </c>
      <c r="J482" s="11">
        <f t="shared" ca="1" si="99"/>
        <v>15</v>
      </c>
      <c r="K482" s="24">
        <v>96</v>
      </c>
      <c r="L482" s="24">
        <f t="shared" ca="1" si="100"/>
        <v>150</v>
      </c>
      <c r="M482" s="24">
        <v>400</v>
      </c>
      <c r="N482" s="24">
        <v>20</v>
      </c>
      <c r="O482" s="24">
        <f t="shared" ca="1" si="101"/>
        <v>666</v>
      </c>
      <c r="P482" s="24">
        <v>500</v>
      </c>
      <c r="Q482" s="11">
        <f t="shared" ca="1" si="102"/>
        <v>150</v>
      </c>
      <c r="R482" s="24">
        <v>200</v>
      </c>
      <c r="S482" s="24">
        <v>10</v>
      </c>
      <c r="T482" s="24">
        <f t="shared" ca="1" si="103"/>
        <v>860</v>
      </c>
    </row>
    <row r="483" spans="1:20" x14ac:dyDescent="0.45">
      <c r="A483" s="11">
        <v>470</v>
      </c>
      <c r="B483" s="11">
        <f t="shared" ca="1" si="91"/>
        <v>0.43220476660165752</v>
      </c>
      <c r="C483" s="11">
        <f t="shared" ca="1" si="92"/>
        <v>1200</v>
      </c>
      <c r="D483" s="11">
        <f t="shared" ca="1" si="93"/>
        <v>0.88653128278557392</v>
      </c>
      <c r="E483" s="11">
        <f t="shared" ca="1" si="94"/>
        <v>1700</v>
      </c>
      <c r="F483" s="11">
        <f t="shared" ca="1" si="95"/>
        <v>3.9921651338073572E-2</v>
      </c>
      <c r="G483" s="11">
        <f t="shared" ca="1" si="96"/>
        <v>1000</v>
      </c>
      <c r="H483" s="11">
        <f t="shared" ca="1" si="97"/>
        <v>1000</v>
      </c>
      <c r="I483" s="11">
        <f t="shared" ca="1" si="98"/>
        <v>4.8907360562731816E-2</v>
      </c>
      <c r="J483" s="11">
        <f t="shared" ca="1" si="99"/>
        <v>5</v>
      </c>
      <c r="K483" s="24">
        <v>96</v>
      </c>
      <c r="L483" s="24">
        <f t="shared" ca="1" si="100"/>
        <v>50</v>
      </c>
      <c r="M483" s="24">
        <v>400</v>
      </c>
      <c r="N483" s="24">
        <v>20</v>
      </c>
      <c r="O483" s="24">
        <f t="shared" ca="1" si="101"/>
        <v>566</v>
      </c>
      <c r="P483" s="24">
        <v>501</v>
      </c>
      <c r="Q483" s="11">
        <f t="shared" ca="1" si="102"/>
        <v>50</v>
      </c>
      <c r="R483" s="24">
        <v>200</v>
      </c>
      <c r="S483" s="24">
        <v>10</v>
      </c>
      <c r="T483" s="24">
        <f t="shared" ca="1" si="103"/>
        <v>761</v>
      </c>
    </row>
    <row r="484" spans="1:20" x14ac:dyDescent="0.45">
      <c r="A484" s="11">
        <v>471</v>
      </c>
      <c r="B484" s="11">
        <f t="shared" ca="1" si="91"/>
        <v>0.25457103678041471</v>
      </c>
      <c r="C484" s="11">
        <f t="shared" ca="1" si="92"/>
        <v>1200</v>
      </c>
      <c r="D484" s="11">
        <f t="shared" ca="1" si="93"/>
        <v>0.10724312933467939</v>
      </c>
      <c r="E484" s="11">
        <f t="shared" ca="1" si="94"/>
        <v>1100</v>
      </c>
      <c r="F484" s="11">
        <f t="shared" ca="1" si="95"/>
        <v>0.9063131561779888</v>
      </c>
      <c r="G484" s="11">
        <f t="shared" ca="1" si="96"/>
        <v>1800</v>
      </c>
      <c r="H484" s="11">
        <f t="shared" ca="1" si="97"/>
        <v>1100</v>
      </c>
      <c r="I484" s="11">
        <f t="shared" ca="1" si="98"/>
        <v>0.63759573571595873</v>
      </c>
      <c r="J484" s="11">
        <f t="shared" ca="1" si="99"/>
        <v>10</v>
      </c>
      <c r="K484" s="24">
        <v>96</v>
      </c>
      <c r="L484" s="24">
        <f t="shared" ca="1" si="100"/>
        <v>100</v>
      </c>
      <c r="M484" s="24">
        <v>400</v>
      </c>
      <c r="N484" s="24">
        <v>20</v>
      </c>
      <c r="O484" s="24">
        <f t="shared" ca="1" si="101"/>
        <v>616</v>
      </c>
      <c r="P484" s="24">
        <v>502</v>
      </c>
      <c r="Q484" s="11">
        <f t="shared" ca="1" si="102"/>
        <v>100</v>
      </c>
      <c r="R484" s="24">
        <v>200</v>
      </c>
      <c r="S484" s="24">
        <v>10</v>
      </c>
      <c r="T484" s="24">
        <f t="shared" ca="1" si="103"/>
        <v>812</v>
      </c>
    </row>
    <row r="485" spans="1:20" x14ac:dyDescent="0.45">
      <c r="A485" s="11">
        <v>472</v>
      </c>
      <c r="B485" s="11">
        <f t="shared" ca="1" si="91"/>
        <v>0.7270070257008443</v>
      </c>
      <c r="C485" s="11">
        <f t="shared" ca="1" si="92"/>
        <v>1500</v>
      </c>
      <c r="D485" s="11">
        <f t="shared" ca="1" si="93"/>
        <v>0.56974495341330544</v>
      </c>
      <c r="E485" s="11">
        <f t="shared" ca="1" si="94"/>
        <v>1300</v>
      </c>
      <c r="F485" s="11">
        <f t="shared" ca="1" si="95"/>
        <v>0.22259118345716833</v>
      </c>
      <c r="G485" s="11">
        <f t="shared" ca="1" si="96"/>
        <v>1100</v>
      </c>
      <c r="H485" s="11">
        <f t="shared" ca="1" si="97"/>
        <v>1100</v>
      </c>
      <c r="I485" s="11">
        <f t="shared" ca="1" si="98"/>
        <v>0.19348167701099861</v>
      </c>
      <c r="J485" s="11">
        <f t="shared" ca="1" si="99"/>
        <v>5</v>
      </c>
      <c r="K485" s="24">
        <v>96</v>
      </c>
      <c r="L485" s="24">
        <f t="shared" ca="1" si="100"/>
        <v>50</v>
      </c>
      <c r="M485" s="24">
        <v>400</v>
      </c>
      <c r="N485" s="24">
        <v>20</v>
      </c>
      <c r="O485" s="24">
        <f t="shared" ca="1" si="101"/>
        <v>566</v>
      </c>
      <c r="P485" s="24">
        <v>503</v>
      </c>
      <c r="Q485" s="11">
        <f t="shared" ca="1" si="102"/>
        <v>50</v>
      </c>
      <c r="R485" s="24">
        <v>200</v>
      </c>
      <c r="S485" s="24">
        <v>10</v>
      </c>
      <c r="T485" s="24">
        <f t="shared" ca="1" si="103"/>
        <v>763</v>
      </c>
    </row>
    <row r="486" spans="1:20" x14ac:dyDescent="0.45">
      <c r="A486" s="11">
        <v>473</v>
      </c>
      <c r="B486" s="11">
        <f t="shared" ca="1" si="91"/>
        <v>7.318617990372811E-3</v>
      </c>
      <c r="C486" s="11">
        <f t="shared" ca="1" si="92"/>
        <v>1000</v>
      </c>
      <c r="D486" s="11">
        <f t="shared" ca="1" si="93"/>
        <v>0.41213926421162794</v>
      </c>
      <c r="E486" s="11">
        <f t="shared" ca="1" si="94"/>
        <v>1200</v>
      </c>
      <c r="F486" s="11">
        <f t="shared" ca="1" si="95"/>
        <v>0.96168689021322973</v>
      </c>
      <c r="G486" s="11">
        <f t="shared" ca="1" si="96"/>
        <v>1900</v>
      </c>
      <c r="H486" s="11">
        <f t="shared" ca="1" si="97"/>
        <v>1000</v>
      </c>
      <c r="I486" s="11">
        <f t="shared" ca="1" si="98"/>
        <v>0.68031353465268518</v>
      </c>
      <c r="J486" s="11">
        <f t="shared" ca="1" si="99"/>
        <v>10</v>
      </c>
      <c r="K486" s="24">
        <v>96</v>
      </c>
      <c r="L486" s="24">
        <f t="shared" ca="1" si="100"/>
        <v>100</v>
      </c>
      <c r="M486" s="24">
        <v>400</v>
      </c>
      <c r="N486" s="24">
        <v>20</v>
      </c>
      <c r="O486" s="24">
        <f t="shared" ca="1" si="101"/>
        <v>616</v>
      </c>
      <c r="P486" s="24">
        <v>504</v>
      </c>
      <c r="Q486" s="11">
        <f t="shared" ca="1" si="102"/>
        <v>100</v>
      </c>
      <c r="R486" s="24">
        <v>200</v>
      </c>
      <c r="S486" s="24">
        <v>10</v>
      </c>
      <c r="T486" s="24">
        <f t="shared" ca="1" si="103"/>
        <v>814</v>
      </c>
    </row>
    <row r="487" spans="1:20" x14ac:dyDescent="0.45">
      <c r="A487" s="11">
        <v>474</v>
      </c>
      <c r="B487" s="11">
        <f t="shared" ca="1" si="91"/>
        <v>0.84038883066118719</v>
      </c>
      <c r="C487" s="11">
        <f t="shared" ca="1" si="92"/>
        <v>1700</v>
      </c>
      <c r="D487" s="11">
        <f t="shared" ca="1" si="93"/>
        <v>7.3570591789430373E-2</v>
      </c>
      <c r="E487" s="11">
        <f t="shared" ca="1" si="94"/>
        <v>1000</v>
      </c>
      <c r="F487" s="11">
        <f t="shared" ca="1" si="95"/>
        <v>0.41652452013806207</v>
      </c>
      <c r="G487" s="11">
        <f t="shared" ca="1" si="96"/>
        <v>1200</v>
      </c>
      <c r="H487" s="11">
        <f t="shared" ca="1" si="97"/>
        <v>1000</v>
      </c>
      <c r="I487" s="11">
        <f t="shared" ca="1" si="98"/>
        <v>0.61810075351152471</v>
      </c>
      <c r="J487" s="11">
        <f t="shared" ca="1" si="99"/>
        <v>10</v>
      </c>
      <c r="K487" s="24">
        <v>96</v>
      </c>
      <c r="L487" s="24">
        <f t="shared" ca="1" si="100"/>
        <v>100</v>
      </c>
      <c r="M487" s="24">
        <v>400</v>
      </c>
      <c r="N487" s="24">
        <v>20</v>
      </c>
      <c r="O487" s="24">
        <f t="shared" ca="1" si="101"/>
        <v>616</v>
      </c>
      <c r="P487" s="24">
        <v>505</v>
      </c>
      <c r="Q487" s="11">
        <f t="shared" ca="1" si="102"/>
        <v>100</v>
      </c>
      <c r="R487" s="24">
        <v>200</v>
      </c>
      <c r="S487" s="24">
        <v>10</v>
      </c>
      <c r="T487" s="24">
        <f t="shared" ca="1" si="103"/>
        <v>815</v>
      </c>
    </row>
    <row r="488" spans="1:20" x14ac:dyDescent="0.45">
      <c r="A488" s="11">
        <v>475</v>
      </c>
      <c r="B488" s="11">
        <f t="shared" ca="1" si="91"/>
        <v>0.44644610159899467</v>
      </c>
      <c r="C488" s="11">
        <f t="shared" ca="1" si="92"/>
        <v>1200</v>
      </c>
      <c r="D488" s="11">
        <f t="shared" ca="1" si="93"/>
        <v>0.83819105470184396</v>
      </c>
      <c r="E488" s="11">
        <f t="shared" ca="1" si="94"/>
        <v>1600</v>
      </c>
      <c r="F488" s="11">
        <f t="shared" ca="1" si="95"/>
        <v>0.68047961141654856</v>
      </c>
      <c r="G488" s="11">
        <f t="shared" ca="1" si="96"/>
        <v>1400</v>
      </c>
      <c r="H488" s="11">
        <f t="shared" ca="1" si="97"/>
        <v>1200</v>
      </c>
      <c r="I488" s="11">
        <f t="shared" ca="1" si="98"/>
        <v>0.45157325439496609</v>
      </c>
      <c r="J488" s="11">
        <f t="shared" ca="1" si="99"/>
        <v>5</v>
      </c>
      <c r="K488" s="24">
        <v>96</v>
      </c>
      <c r="L488" s="24">
        <f t="shared" ca="1" si="100"/>
        <v>50</v>
      </c>
      <c r="M488" s="24">
        <v>400</v>
      </c>
      <c r="N488" s="24">
        <v>20</v>
      </c>
      <c r="O488" s="24">
        <f t="shared" ca="1" si="101"/>
        <v>566</v>
      </c>
      <c r="P488" s="24">
        <v>506</v>
      </c>
      <c r="Q488" s="11">
        <f t="shared" ca="1" si="102"/>
        <v>50</v>
      </c>
      <c r="R488" s="24">
        <v>200</v>
      </c>
      <c r="S488" s="24">
        <v>10</v>
      </c>
      <c r="T488" s="24">
        <f t="shared" ca="1" si="103"/>
        <v>766</v>
      </c>
    </row>
    <row r="489" spans="1:20" x14ac:dyDescent="0.45">
      <c r="A489" s="11">
        <v>476</v>
      </c>
      <c r="B489" s="11">
        <f t="shared" ca="1" si="91"/>
        <v>0.65155323809596821</v>
      </c>
      <c r="C489" s="11">
        <f t="shared" ca="1" si="92"/>
        <v>1400</v>
      </c>
      <c r="D489" s="11">
        <f t="shared" ca="1" si="93"/>
        <v>0.57154886112443903</v>
      </c>
      <c r="E489" s="11">
        <f t="shared" ca="1" si="94"/>
        <v>1300</v>
      </c>
      <c r="F489" s="11">
        <f t="shared" ca="1" si="95"/>
        <v>0.13532863918289439</v>
      </c>
      <c r="G489" s="11">
        <f t="shared" ca="1" si="96"/>
        <v>1100</v>
      </c>
      <c r="H489" s="11">
        <f t="shared" ca="1" si="97"/>
        <v>1100</v>
      </c>
      <c r="I489" s="11">
        <f t="shared" ca="1" si="98"/>
        <v>0.38580855155740945</v>
      </c>
      <c r="J489" s="11">
        <f t="shared" ca="1" si="99"/>
        <v>5</v>
      </c>
      <c r="K489" s="24">
        <v>96</v>
      </c>
      <c r="L489" s="24">
        <f t="shared" ca="1" si="100"/>
        <v>50</v>
      </c>
      <c r="M489" s="24">
        <v>400</v>
      </c>
      <c r="N489" s="24">
        <v>20</v>
      </c>
      <c r="O489" s="24">
        <f t="shared" ca="1" si="101"/>
        <v>566</v>
      </c>
      <c r="P489" s="24">
        <v>507</v>
      </c>
      <c r="Q489" s="11">
        <f t="shared" ca="1" si="102"/>
        <v>50</v>
      </c>
      <c r="R489" s="24">
        <v>200</v>
      </c>
      <c r="S489" s="24">
        <v>10</v>
      </c>
      <c r="T489" s="24">
        <f t="shared" ca="1" si="103"/>
        <v>767</v>
      </c>
    </row>
    <row r="490" spans="1:20" x14ac:dyDescent="0.45">
      <c r="A490" s="11">
        <v>477</v>
      </c>
      <c r="B490" s="11">
        <f t="shared" ca="1" si="91"/>
        <v>0.58235711198683193</v>
      </c>
      <c r="C490" s="11">
        <f t="shared" ca="1" si="92"/>
        <v>1300</v>
      </c>
      <c r="D490" s="11">
        <f t="shared" ca="1" si="93"/>
        <v>0.45807649567133191</v>
      </c>
      <c r="E490" s="11">
        <f t="shared" ca="1" si="94"/>
        <v>1200</v>
      </c>
      <c r="F490" s="11">
        <f t="shared" ca="1" si="95"/>
        <v>0.51469778523843479</v>
      </c>
      <c r="G490" s="11">
        <f t="shared" ca="1" si="96"/>
        <v>1300</v>
      </c>
      <c r="H490" s="11">
        <f t="shared" ca="1" si="97"/>
        <v>1200</v>
      </c>
      <c r="I490" s="11">
        <f t="shared" ca="1" si="98"/>
        <v>0.8131678037790715</v>
      </c>
      <c r="J490" s="11">
        <f t="shared" ca="1" si="99"/>
        <v>10</v>
      </c>
      <c r="K490" s="24">
        <v>96</v>
      </c>
      <c r="L490" s="24">
        <f t="shared" ca="1" si="100"/>
        <v>100</v>
      </c>
      <c r="M490" s="24">
        <v>400</v>
      </c>
      <c r="N490" s="24">
        <v>20</v>
      </c>
      <c r="O490" s="24">
        <f t="shared" ca="1" si="101"/>
        <v>616</v>
      </c>
      <c r="P490" s="24">
        <v>508</v>
      </c>
      <c r="Q490" s="11">
        <f t="shared" ca="1" si="102"/>
        <v>100</v>
      </c>
      <c r="R490" s="24">
        <v>200</v>
      </c>
      <c r="S490" s="24">
        <v>10</v>
      </c>
      <c r="T490" s="24">
        <f t="shared" ca="1" si="103"/>
        <v>818</v>
      </c>
    </row>
    <row r="491" spans="1:20" x14ac:dyDescent="0.45">
      <c r="A491" s="11">
        <v>478</v>
      </c>
      <c r="B491" s="11">
        <f t="shared" ca="1" si="91"/>
        <v>0.23544675171909935</v>
      </c>
      <c r="C491" s="11">
        <f t="shared" ca="1" si="92"/>
        <v>1200</v>
      </c>
      <c r="D491" s="11">
        <f t="shared" ca="1" si="93"/>
        <v>0.28331275405850964</v>
      </c>
      <c r="E491" s="11">
        <f t="shared" ca="1" si="94"/>
        <v>1200</v>
      </c>
      <c r="F491" s="11">
        <f t="shared" ca="1" si="95"/>
        <v>0.17055558664526449</v>
      </c>
      <c r="G491" s="11">
        <f t="shared" ca="1" si="96"/>
        <v>1100</v>
      </c>
      <c r="H491" s="11">
        <f t="shared" ca="1" si="97"/>
        <v>1100</v>
      </c>
      <c r="I491" s="11">
        <f t="shared" ca="1" si="98"/>
        <v>0.99449046361122462</v>
      </c>
      <c r="J491" s="11">
        <f t="shared" ca="1" si="99"/>
        <v>15</v>
      </c>
      <c r="K491" s="24">
        <v>96</v>
      </c>
      <c r="L491" s="24">
        <f t="shared" ca="1" si="100"/>
        <v>150</v>
      </c>
      <c r="M491" s="24">
        <v>400</v>
      </c>
      <c r="N491" s="24">
        <v>20</v>
      </c>
      <c r="O491" s="24">
        <f t="shared" ca="1" si="101"/>
        <v>666</v>
      </c>
      <c r="P491" s="24">
        <v>509</v>
      </c>
      <c r="Q491" s="11">
        <f t="shared" ca="1" si="102"/>
        <v>150</v>
      </c>
      <c r="R491" s="24">
        <v>200</v>
      </c>
      <c r="S491" s="24">
        <v>10</v>
      </c>
      <c r="T491" s="24">
        <f t="shared" ca="1" si="103"/>
        <v>869</v>
      </c>
    </row>
    <row r="492" spans="1:20" x14ac:dyDescent="0.45">
      <c r="A492" s="11">
        <v>479</v>
      </c>
      <c r="B492" s="11">
        <f t="shared" ca="1" si="91"/>
        <v>0.48168605204371318</v>
      </c>
      <c r="C492" s="11">
        <f t="shared" ca="1" si="92"/>
        <v>1300</v>
      </c>
      <c r="D492" s="11">
        <f t="shared" ca="1" si="93"/>
        <v>0.21902271892412439</v>
      </c>
      <c r="E492" s="11">
        <f t="shared" ca="1" si="94"/>
        <v>1100</v>
      </c>
      <c r="F492" s="11">
        <f t="shared" ca="1" si="95"/>
        <v>0.54030178222022873</v>
      </c>
      <c r="G492" s="11">
        <f t="shared" ca="1" si="96"/>
        <v>1300</v>
      </c>
      <c r="H492" s="11">
        <f t="shared" ca="1" si="97"/>
        <v>1100</v>
      </c>
      <c r="I492" s="11">
        <f t="shared" ca="1" si="98"/>
        <v>0.71200788149995631</v>
      </c>
      <c r="J492" s="11">
        <f t="shared" ca="1" si="99"/>
        <v>10</v>
      </c>
      <c r="K492" s="24">
        <v>96</v>
      </c>
      <c r="L492" s="24">
        <f t="shared" ca="1" si="100"/>
        <v>100</v>
      </c>
      <c r="M492" s="24">
        <v>400</v>
      </c>
      <c r="N492" s="24">
        <v>20</v>
      </c>
      <c r="O492" s="24">
        <f t="shared" ca="1" si="101"/>
        <v>616</v>
      </c>
      <c r="P492" s="24">
        <v>510</v>
      </c>
      <c r="Q492" s="11">
        <f t="shared" ca="1" si="102"/>
        <v>100</v>
      </c>
      <c r="R492" s="24">
        <v>200</v>
      </c>
      <c r="S492" s="24">
        <v>10</v>
      </c>
      <c r="T492" s="24">
        <f t="shared" ca="1" si="103"/>
        <v>820</v>
      </c>
    </row>
    <row r="493" spans="1:20" x14ac:dyDescent="0.45">
      <c r="A493" s="11">
        <v>480</v>
      </c>
      <c r="B493" s="11">
        <f t="shared" ca="1" si="91"/>
        <v>0.24493881618539759</v>
      </c>
      <c r="C493" s="11">
        <f t="shared" ca="1" si="92"/>
        <v>1200</v>
      </c>
      <c r="D493" s="11">
        <f t="shared" ca="1" si="93"/>
        <v>0.68860959346535566</v>
      </c>
      <c r="E493" s="11">
        <f t="shared" ca="1" si="94"/>
        <v>1400</v>
      </c>
      <c r="F493" s="11">
        <f t="shared" ca="1" si="95"/>
        <v>0.37669979210473437</v>
      </c>
      <c r="G493" s="11">
        <f t="shared" ca="1" si="96"/>
        <v>1200</v>
      </c>
      <c r="H493" s="11">
        <f t="shared" ca="1" si="97"/>
        <v>1200</v>
      </c>
      <c r="I493" s="11">
        <f t="shared" ca="1" si="98"/>
        <v>3.8030771957094811E-2</v>
      </c>
      <c r="J493" s="11">
        <f t="shared" ca="1" si="99"/>
        <v>5</v>
      </c>
      <c r="K493" s="24">
        <v>96</v>
      </c>
      <c r="L493" s="24">
        <f t="shared" ca="1" si="100"/>
        <v>50</v>
      </c>
      <c r="M493" s="24">
        <v>400</v>
      </c>
      <c r="N493" s="24">
        <v>20</v>
      </c>
      <c r="O493" s="24">
        <f t="shared" ca="1" si="101"/>
        <v>566</v>
      </c>
      <c r="P493" s="24">
        <v>511</v>
      </c>
      <c r="Q493" s="11">
        <f t="shared" ca="1" si="102"/>
        <v>50</v>
      </c>
      <c r="R493" s="24">
        <v>200</v>
      </c>
      <c r="S493" s="24">
        <v>10</v>
      </c>
      <c r="T493" s="24">
        <f t="shared" ca="1" si="103"/>
        <v>771</v>
      </c>
    </row>
    <row r="494" spans="1:20" x14ac:dyDescent="0.45">
      <c r="A494" s="11">
        <v>481</v>
      </c>
      <c r="B494" s="11">
        <f t="shared" ca="1" si="91"/>
        <v>0.58808626353114357</v>
      </c>
      <c r="C494" s="11">
        <f t="shared" ca="1" si="92"/>
        <v>1300</v>
      </c>
      <c r="D494" s="11">
        <f t="shared" ca="1" si="93"/>
        <v>0.45594588514100243</v>
      </c>
      <c r="E494" s="11">
        <f t="shared" ca="1" si="94"/>
        <v>1200</v>
      </c>
      <c r="F494" s="11">
        <f t="shared" ca="1" si="95"/>
        <v>0.3538972213894146</v>
      </c>
      <c r="G494" s="11">
        <f t="shared" ca="1" si="96"/>
        <v>1200</v>
      </c>
      <c r="H494" s="11">
        <f t="shared" ca="1" si="97"/>
        <v>1200</v>
      </c>
      <c r="I494" s="11">
        <f t="shared" ca="1" si="98"/>
        <v>0.86704397971193192</v>
      </c>
      <c r="J494" s="11">
        <f t="shared" ca="1" si="99"/>
        <v>10</v>
      </c>
      <c r="K494" s="24">
        <v>96</v>
      </c>
      <c r="L494" s="24">
        <f t="shared" ca="1" si="100"/>
        <v>100</v>
      </c>
      <c r="M494" s="24">
        <v>400</v>
      </c>
      <c r="N494" s="24">
        <v>20</v>
      </c>
      <c r="O494" s="24">
        <f t="shared" ca="1" si="101"/>
        <v>616</v>
      </c>
      <c r="P494" s="24">
        <v>512</v>
      </c>
      <c r="Q494" s="11">
        <f t="shared" ca="1" si="102"/>
        <v>100</v>
      </c>
      <c r="R494" s="24">
        <v>200</v>
      </c>
      <c r="S494" s="24">
        <v>10</v>
      </c>
      <c r="T494" s="24">
        <f t="shared" ca="1" si="103"/>
        <v>822</v>
      </c>
    </row>
    <row r="495" spans="1:20" x14ac:dyDescent="0.45">
      <c r="A495" s="11">
        <v>482</v>
      </c>
      <c r="B495" s="11">
        <f t="shared" ca="1" si="91"/>
        <v>0.44956592458173883</v>
      </c>
      <c r="C495" s="11">
        <f t="shared" ca="1" si="92"/>
        <v>1200</v>
      </c>
      <c r="D495" s="11">
        <f t="shared" ca="1" si="93"/>
        <v>2.9843152014008889E-2</v>
      </c>
      <c r="E495" s="11">
        <f t="shared" ca="1" si="94"/>
        <v>1000</v>
      </c>
      <c r="F495" s="11">
        <f t="shared" ca="1" si="95"/>
        <v>0.98316080729660071</v>
      </c>
      <c r="G495" s="11">
        <f t="shared" ca="1" si="96"/>
        <v>1900</v>
      </c>
      <c r="H495" s="11">
        <f t="shared" ca="1" si="97"/>
        <v>1000</v>
      </c>
      <c r="I495" s="11">
        <f t="shared" ca="1" si="98"/>
        <v>0.14461400194906826</v>
      </c>
      <c r="J495" s="11">
        <f t="shared" ca="1" si="99"/>
        <v>5</v>
      </c>
      <c r="K495" s="24">
        <v>96</v>
      </c>
      <c r="L495" s="24">
        <f t="shared" ca="1" si="100"/>
        <v>50</v>
      </c>
      <c r="M495" s="24">
        <v>400</v>
      </c>
      <c r="N495" s="24">
        <v>20</v>
      </c>
      <c r="O495" s="24">
        <f t="shared" ca="1" si="101"/>
        <v>566</v>
      </c>
      <c r="P495" s="24">
        <v>513</v>
      </c>
      <c r="Q495" s="11">
        <f t="shared" ca="1" si="102"/>
        <v>50</v>
      </c>
      <c r="R495" s="24">
        <v>200</v>
      </c>
      <c r="S495" s="24">
        <v>10</v>
      </c>
      <c r="T495" s="24">
        <f t="shared" ca="1" si="103"/>
        <v>773</v>
      </c>
    </row>
    <row r="496" spans="1:20" x14ac:dyDescent="0.45">
      <c r="A496" s="11">
        <v>483</v>
      </c>
      <c r="B496" s="11">
        <f t="shared" ca="1" si="91"/>
        <v>0.92860295698561324</v>
      </c>
      <c r="C496" s="11">
        <f t="shared" ca="1" si="92"/>
        <v>1800</v>
      </c>
      <c r="D496" s="11">
        <f t="shared" ca="1" si="93"/>
        <v>0.20531850525803763</v>
      </c>
      <c r="E496" s="11">
        <f t="shared" ca="1" si="94"/>
        <v>1100</v>
      </c>
      <c r="F496" s="11">
        <f t="shared" ca="1" si="95"/>
        <v>0.63917891113633651</v>
      </c>
      <c r="G496" s="11">
        <f t="shared" ca="1" si="96"/>
        <v>1400</v>
      </c>
      <c r="H496" s="11">
        <f t="shared" ca="1" si="97"/>
        <v>1100</v>
      </c>
      <c r="I496" s="11">
        <f t="shared" ca="1" si="98"/>
        <v>1.2394355785880884E-2</v>
      </c>
      <c r="J496" s="11">
        <f t="shared" ca="1" si="99"/>
        <v>5</v>
      </c>
      <c r="K496" s="24">
        <v>96</v>
      </c>
      <c r="L496" s="24">
        <f t="shared" ca="1" si="100"/>
        <v>50</v>
      </c>
      <c r="M496" s="24">
        <v>400</v>
      </c>
      <c r="N496" s="24">
        <v>20</v>
      </c>
      <c r="O496" s="24">
        <f t="shared" ca="1" si="101"/>
        <v>566</v>
      </c>
      <c r="P496" s="24">
        <v>514</v>
      </c>
      <c r="Q496" s="11">
        <f t="shared" ca="1" si="102"/>
        <v>50</v>
      </c>
      <c r="R496" s="24">
        <v>200</v>
      </c>
      <c r="S496" s="24">
        <v>10</v>
      </c>
      <c r="T496" s="24">
        <f t="shared" ca="1" si="103"/>
        <v>774</v>
      </c>
    </row>
    <row r="497" spans="1:20" x14ac:dyDescent="0.45">
      <c r="A497" s="11">
        <v>484</v>
      </c>
      <c r="B497" s="11">
        <f t="shared" ca="1" si="91"/>
        <v>0.88183560647318981</v>
      </c>
      <c r="C497" s="11">
        <f t="shared" ca="1" si="92"/>
        <v>1700</v>
      </c>
      <c r="D497" s="11">
        <f t="shared" ca="1" si="93"/>
        <v>0.5779513523847537</v>
      </c>
      <c r="E497" s="11">
        <f t="shared" ca="1" si="94"/>
        <v>1300</v>
      </c>
      <c r="F497" s="11">
        <f t="shared" ca="1" si="95"/>
        <v>0.30128462209572737</v>
      </c>
      <c r="G497" s="11">
        <f t="shared" ca="1" si="96"/>
        <v>1200</v>
      </c>
      <c r="H497" s="11">
        <f t="shared" ca="1" si="97"/>
        <v>1200</v>
      </c>
      <c r="I497" s="11">
        <f t="shared" ca="1" si="98"/>
        <v>0.32271594858648078</v>
      </c>
      <c r="J497" s="11">
        <f t="shared" ca="1" si="99"/>
        <v>5</v>
      </c>
      <c r="K497" s="24">
        <v>96</v>
      </c>
      <c r="L497" s="24">
        <f t="shared" ca="1" si="100"/>
        <v>50</v>
      </c>
      <c r="M497" s="24">
        <v>400</v>
      </c>
      <c r="N497" s="24">
        <v>20</v>
      </c>
      <c r="O497" s="24">
        <f t="shared" ca="1" si="101"/>
        <v>566</v>
      </c>
      <c r="P497" s="24">
        <v>515</v>
      </c>
      <c r="Q497" s="11">
        <f t="shared" ca="1" si="102"/>
        <v>50</v>
      </c>
      <c r="R497" s="24">
        <v>200</v>
      </c>
      <c r="S497" s="24">
        <v>10</v>
      </c>
      <c r="T497" s="24">
        <f t="shared" ca="1" si="103"/>
        <v>775</v>
      </c>
    </row>
    <row r="498" spans="1:20" x14ac:dyDescent="0.45">
      <c r="A498" s="11">
        <v>485</v>
      </c>
      <c r="B498" s="11">
        <f t="shared" ca="1" si="91"/>
        <v>0.94100577019322618</v>
      </c>
      <c r="C498" s="11">
        <f t="shared" ca="1" si="92"/>
        <v>1800</v>
      </c>
      <c r="D498" s="11">
        <f t="shared" ca="1" si="93"/>
        <v>0.40211019816231608</v>
      </c>
      <c r="E498" s="11">
        <f t="shared" ca="1" si="94"/>
        <v>1200</v>
      </c>
      <c r="F498" s="11">
        <f t="shared" ca="1" si="95"/>
        <v>0.26000048005151555</v>
      </c>
      <c r="G498" s="11">
        <f t="shared" ca="1" si="96"/>
        <v>1200</v>
      </c>
      <c r="H498" s="11">
        <f t="shared" ca="1" si="97"/>
        <v>1200</v>
      </c>
      <c r="I498" s="11">
        <f t="shared" ca="1" si="98"/>
        <v>2.9994317998633946E-2</v>
      </c>
      <c r="J498" s="11">
        <f t="shared" ca="1" si="99"/>
        <v>5</v>
      </c>
      <c r="K498" s="24">
        <v>96</v>
      </c>
      <c r="L498" s="24">
        <f t="shared" ca="1" si="100"/>
        <v>50</v>
      </c>
      <c r="M498" s="24">
        <v>400</v>
      </c>
      <c r="N498" s="24">
        <v>20</v>
      </c>
      <c r="O498" s="24">
        <f t="shared" ca="1" si="101"/>
        <v>566</v>
      </c>
      <c r="P498" s="24">
        <v>516</v>
      </c>
      <c r="Q498" s="11">
        <f t="shared" ca="1" si="102"/>
        <v>50</v>
      </c>
      <c r="R498" s="24">
        <v>200</v>
      </c>
      <c r="S498" s="24">
        <v>10</v>
      </c>
      <c r="T498" s="24">
        <f t="shared" ca="1" si="103"/>
        <v>776</v>
      </c>
    </row>
    <row r="499" spans="1:20" x14ac:dyDescent="0.45">
      <c r="A499" s="11">
        <v>486</v>
      </c>
      <c r="B499" s="11">
        <f t="shared" ca="1" si="91"/>
        <v>0.67716943939697949</v>
      </c>
      <c r="C499" s="11">
        <f t="shared" ca="1" si="92"/>
        <v>1400</v>
      </c>
      <c r="D499" s="11">
        <f t="shared" ca="1" si="93"/>
        <v>0.94512624591376515</v>
      </c>
      <c r="E499" s="11">
        <f t="shared" ca="1" si="94"/>
        <v>1800</v>
      </c>
      <c r="F499" s="11">
        <f t="shared" ca="1" si="95"/>
        <v>0.45716888077786644</v>
      </c>
      <c r="G499" s="11">
        <f t="shared" ca="1" si="96"/>
        <v>1200</v>
      </c>
      <c r="H499" s="11">
        <f t="shared" ca="1" si="97"/>
        <v>1200</v>
      </c>
      <c r="I499" s="11">
        <f t="shared" ca="1" si="98"/>
        <v>0.81653658288995501</v>
      </c>
      <c r="J499" s="11">
        <f t="shared" ca="1" si="99"/>
        <v>10</v>
      </c>
      <c r="K499" s="24">
        <v>96</v>
      </c>
      <c r="L499" s="24">
        <f t="shared" ca="1" si="100"/>
        <v>100</v>
      </c>
      <c r="M499" s="24">
        <v>400</v>
      </c>
      <c r="N499" s="24">
        <v>20</v>
      </c>
      <c r="O499" s="24">
        <f t="shared" ca="1" si="101"/>
        <v>616</v>
      </c>
      <c r="P499" s="24">
        <v>517</v>
      </c>
      <c r="Q499" s="11">
        <f t="shared" ca="1" si="102"/>
        <v>100</v>
      </c>
      <c r="R499" s="24">
        <v>200</v>
      </c>
      <c r="S499" s="24">
        <v>10</v>
      </c>
      <c r="T499" s="24">
        <f t="shared" ca="1" si="103"/>
        <v>827</v>
      </c>
    </row>
    <row r="500" spans="1:20" x14ac:dyDescent="0.45">
      <c r="A500" s="11">
        <v>487</v>
      </c>
      <c r="B500" s="11">
        <f t="shared" ca="1" si="91"/>
        <v>0.30974600865464863</v>
      </c>
      <c r="C500" s="11">
        <f t="shared" ca="1" si="92"/>
        <v>1200</v>
      </c>
      <c r="D500" s="11">
        <f t="shared" ca="1" si="93"/>
        <v>0.47825464315428601</v>
      </c>
      <c r="E500" s="11">
        <f t="shared" ca="1" si="94"/>
        <v>1200</v>
      </c>
      <c r="F500" s="11">
        <f t="shared" ca="1" si="95"/>
        <v>0.15628666364529575</v>
      </c>
      <c r="G500" s="11">
        <f t="shared" ca="1" si="96"/>
        <v>1100</v>
      </c>
      <c r="H500" s="11">
        <f t="shared" ca="1" si="97"/>
        <v>1100</v>
      </c>
      <c r="I500" s="11">
        <f t="shared" ca="1" si="98"/>
        <v>0.11348067462748501</v>
      </c>
      <c r="J500" s="11">
        <f t="shared" ca="1" si="99"/>
        <v>5</v>
      </c>
      <c r="K500" s="24">
        <v>96</v>
      </c>
      <c r="L500" s="24">
        <f t="shared" ca="1" si="100"/>
        <v>50</v>
      </c>
      <c r="M500" s="24">
        <v>400</v>
      </c>
      <c r="N500" s="24">
        <v>20</v>
      </c>
      <c r="O500" s="24">
        <f t="shared" ca="1" si="101"/>
        <v>566</v>
      </c>
      <c r="P500" s="24">
        <v>518</v>
      </c>
      <c r="Q500" s="11">
        <f t="shared" ca="1" si="102"/>
        <v>50</v>
      </c>
      <c r="R500" s="24">
        <v>200</v>
      </c>
      <c r="S500" s="24">
        <v>10</v>
      </c>
      <c r="T500" s="24">
        <f t="shared" ca="1" si="103"/>
        <v>778</v>
      </c>
    </row>
    <row r="501" spans="1:20" x14ac:dyDescent="0.45">
      <c r="A501" s="11">
        <v>488</v>
      </c>
      <c r="B501" s="11">
        <f t="shared" ca="1" si="91"/>
        <v>0.38908905714178166</v>
      </c>
      <c r="C501" s="11">
        <f t="shared" ca="1" si="92"/>
        <v>1200</v>
      </c>
      <c r="D501" s="11">
        <f t="shared" ca="1" si="93"/>
        <v>0.57463360839762256</v>
      </c>
      <c r="E501" s="11">
        <f t="shared" ca="1" si="94"/>
        <v>1300</v>
      </c>
      <c r="F501" s="11">
        <f t="shared" ca="1" si="95"/>
        <v>0.77058017280929969</v>
      </c>
      <c r="G501" s="11">
        <f t="shared" ca="1" si="96"/>
        <v>1500</v>
      </c>
      <c r="H501" s="11">
        <f t="shared" ca="1" si="97"/>
        <v>1200</v>
      </c>
      <c r="I501" s="11">
        <f t="shared" ca="1" si="98"/>
        <v>0.2400160805145849</v>
      </c>
      <c r="J501" s="11">
        <f t="shared" ca="1" si="99"/>
        <v>5</v>
      </c>
      <c r="K501" s="24">
        <v>96</v>
      </c>
      <c r="L501" s="24">
        <f t="shared" ca="1" si="100"/>
        <v>50</v>
      </c>
      <c r="M501" s="24">
        <v>400</v>
      </c>
      <c r="N501" s="24">
        <v>20</v>
      </c>
      <c r="O501" s="24">
        <f t="shared" ca="1" si="101"/>
        <v>566</v>
      </c>
      <c r="P501" s="24">
        <v>519</v>
      </c>
      <c r="Q501" s="11">
        <f t="shared" ca="1" si="102"/>
        <v>50</v>
      </c>
      <c r="R501" s="24">
        <v>200</v>
      </c>
      <c r="S501" s="24">
        <v>10</v>
      </c>
      <c r="T501" s="24">
        <f t="shared" ca="1" si="103"/>
        <v>779</v>
      </c>
    </row>
    <row r="502" spans="1:20" x14ac:dyDescent="0.45">
      <c r="A502" s="11">
        <v>489</v>
      </c>
      <c r="B502" s="11">
        <f t="shared" ca="1" si="91"/>
        <v>0.52465329121864013</v>
      </c>
      <c r="C502" s="11">
        <f t="shared" ca="1" si="92"/>
        <v>1300</v>
      </c>
      <c r="D502" s="11">
        <f t="shared" ca="1" si="93"/>
        <v>0.94454997289783904</v>
      </c>
      <c r="E502" s="11">
        <f t="shared" ca="1" si="94"/>
        <v>1800</v>
      </c>
      <c r="F502" s="11">
        <f t="shared" ca="1" si="95"/>
        <v>0.89994394625878482</v>
      </c>
      <c r="G502" s="11">
        <f t="shared" ca="1" si="96"/>
        <v>1700</v>
      </c>
      <c r="H502" s="11">
        <f t="shared" ca="1" si="97"/>
        <v>1300</v>
      </c>
      <c r="I502" s="11">
        <f t="shared" ca="1" si="98"/>
        <v>0.9201921773039109</v>
      </c>
      <c r="J502" s="11">
        <f t="shared" ca="1" si="99"/>
        <v>15</v>
      </c>
      <c r="K502" s="24">
        <v>96</v>
      </c>
      <c r="L502" s="24">
        <f t="shared" ca="1" si="100"/>
        <v>150</v>
      </c>
      <c r="M502" s="24">
        <v>400</v>
      </c>
      <c r="N502" s="24">
        <v>20</v>
      </c>
      <c r="O502" s="24">
        <f t="shared" ca="1" si="101"/>
        <v>666</v>
      </c>
      <c r="P502" s="24">
        <v>520</v>
      </c>
      <c r="Q502" s="11">
        <f t="shared" ca="1" si="102"/>
        <v>150</v>
      </c>
      <c r="R502" s="24">
        <v>200</v>
      </c>
      <c r="S502" s="24">
        <v>10</v>
      </c>
      <c r="T502" s="24">
        <f t="shared" ca="1" si="103"/>
        <v>880</v>
      </c>
    </row>
    <row r="503" spans="1:20" x14ac:dyDescent="0.45">
      <c r="A503" s="11">
        <v>490</v>
      </c>
      <c r="B503" s="11">
        <f t="shared" ca="1" si="91"/>
        <v>0.89172695377929423</v>
      </c>
      <c r="C503" s="11">
        <f t="shared" ca="1" si="92"/>
        <v>1700</v>
      </c>
      <c r="D503" s="11">
        <f t="shared" ca="1" si="93"/>
        <v>0.62797422500094224</v>
      </c>
      <c r="E503" s="11">
        <f t="shared" ca="1" si="94"/>
        <v>1400</v>
      </c>
      <c r="F503" s="11">
        <f t="shared" ca="1" si="95"/>
        <v>0.92703054941302998</v>
      </c>
      <c r="G503" s="11">
        <f t="shared" ca="1" si="96"/>
        <v>1800</v>
      </c>
      <c r="H503" s="11">
        <f t="shared" ca="1" si="97"/>
        <v>1400</v>
      </c>
      <c r="I503" s="11">
        <f t="shared" ca="1" si="98"/>
        <v>0.4683994618955506</v>
      </c>
      <c r="J503" s="11">
        <f t="shared" ca="1" si="99"/>
        <v>5</v>
      </c>
      <c r="K503" s="24">
        <v>96</v>
      </c>
      <c r="L503" s="24">
        <f t="shared" ca="1" si="100"/>
        <v>50</v>
      </c>
      <c r="M503" s="24">
        <v>400</v>
      </c>
      <c r="N503" s="24">
        <v>20</v>
      </c>
      <c r="O503" s="24">
        <f t="shared" ca="1" si="101"/>
        <v>566</v>
      </c>
      <c r="P503" s="24">
        <v>521</v>
      </c>
      <c r="Q503" s="11">
        <f t="shared" ca="1" si="102"/>
        <v>50</v>
      </c>
      <c r="R503" s="24">
        <v>200</v>
      </c>
      <c r="S503" s="24">
        <v>10</v>
      </c>
      <c r="T503" s="24">
        <f t="shared" ca="1" si="103"/>
        <v>781</v>
      </c>
    </row>
    <row r="504" spans="1:20" x14ac:dyDescent="0.45">
      <c r="A504" s="11">
        <v>491</v>
      </c>
      <c r="B504" s="11">
        <f t="shared" ca="1" si="91"/>
        <v>0.88015600142789796</v>
      </c>
      <c r="C504" s="11">
        <f t="shared" ca="1" si="92"/>
        <v>1700</v>
      </c>
      <c r="D504" s="11">
        <f t="shared" ca="1" si="93"/>
        <v>0.26200928110289823</v>
      </c>
      <c r="E504" s="11">
        <f t="shared" ca="1" si="94"/>
        <v>1200</v>
      </c>
      <c r="F504" s="11">
        <f t="shared" ca="1" si="95"/>
        <v>0.73764309518467397</v>
      </c>
      <c r="G504" s="11">
        <f t="shared" ca="1" si="96"/>
        <v>1500</v>
      </c>
      <c r="H504" s="11">
        <f t="shared" ca="1" si="97"/>
        <v>1200</v>
      </c>
      <c r="I504" s="11">
        <f t="shared" ca="1" si="98"/>
        <v>0.45986714062438416</v>
      </c>
      <c r="J504" s="11">
        <f t="shared" ca="1" si="99"/>
        <v>5</v>
      </c>
      <c r="K504" s="24">
        <v>96</v>
      </c>
      <c r="L504" s="24">
        <f t="shared" ca="1" si="100"/>
        <v>50</v>
      </c>
      <c r="M504" s="24">
        <v>400</v>
      </c>
      <c r="N504" s="24">
        <v>20</v>
      </c>
      <c r="O504" s="24">
        <f t="shared" ca="1" si="101"/>
        <v>566</v>
      </c>
      <c r="P504" s="24">
        <v>522</v>
      </c>
      <c r="Q504" s="11">
        <f t="shared" ca="1" si="102"/>
        <v>50</v>
      </c>
      <c r="R504" s="24">
        <v>200</v>
      </c>
      <c r="S504" s="24">
        <v>10</v>
      </c>
      <c r="T504" s="24">
        <f t="shared" ca="1" si="103"/>
        <v>782</v>
      </c>
    </row>
    <row r="505" spans="1:20" x14ac:dyDescent="0.45">
      <c r="A505" s="11">
        <v>492</v>
      </c>
      <c r="B505" s="11">
        <f t="shared" ca="1" si="91"/>
        <v>0.59433942980519627</v>
      </c>
      <c r="C505" s="11">
        <f t="shared" ca="1" si="92"/>
        <v>1300</v>
      </c>
      <c r="D505" s="11">
        <f t="shared" ca="1" si="93"/>
        <v>0.45596724898852681</v>
      </c>
      <c r="E505" s="11">
        <f t="shared" ca="1" si="94"/>
        <v>1200</v>
      </c>
      <c r="F505" s="11">
        <f t="shared" ca="1" si="95"/>
        <v>0.4923630027713074</v>
      </c>
      <c r="G505" s="11">
        <f t="shared" ca="1" si="96"/>
        <v>1300</v>
      </c>
      <c r="H505" s="11">
        <f t="shared" ca="1" si="97"/>
        <v>1200</v>
      </c>
      <c r="I505" s="11">
        <f t="shared" ca="1" si="98"/>
        <v>0.88946457819604041</v>
      </c>
      <c r="J505" s="11">
        <f t="shared" ca="1" si="99"/>
        <v>10</v>
      </c>
      <c r="K505" s="24">
        <v>96</v>
      </c>
      <c r="L505" s="24">
        <f t="shared" ca="1" si="100"/>
        <v>100</v>
      </c>
      <c r="M505" s="24">
        <v>400</v>
      </c>
      <c r="N505" s="24">
        <v>20</v>
      </c>
      <c r="O505" s="24">
        <f t="shared" ca="1" si="101"/>
        <v>616</v>
      </c>
      <c r="P505" s="24">
        <v>523</v>
      </c>
      <c r="Q505" s="11">
        <f t="shared" ca="1" si="102"/>
        <v>100</v>
      </c>
      <c r="R505" s="24">
        <v>200</v>
      </c>
      <c r="S505" s="24">
        <v>10</v>
      </c>
      <c r="T505" s="24">
        <f t="shared" ca="1" si="103"/>
        <v>833</v>
      </c>
    </row>
    <row r="506" spans="1:20" x14ac:dyDescent="0.45">
      <c r="A506" s="11">
        <v>493</v>
      </c>
      <c r="B506" s="11">
        <f t="shared" ca="1" si="91"/>
        <v>0.66494259566533864</v>
      </c>
      <c r="C506" s="11">
        <f t="shared" ca="1" si="92"/>
        <v>1400</v>
      </c>
      <c r="D506" s="11">
        <f t="shared" ca="1" si="93"/>
        <v>0.76346501276906886</v>
      </c>
      <c r="E506" s="11">
        <f t="shared" ca="1" si="94"/>
        <v>1500</v>
      </c>
      <c r="F506" s="11">
        <f t="shared" ca="1" si="95"/>
        <v>0.61120986516258125</v>
      </c>
      <c r="G506" s="11">
        <f t="shared" ca="1" si="96"/>
        <v>1400</v>
      </c>
      <c r="H506" s="11">
        <f t="shared" ca="1" si="97"/>
        <v>1400</v>
      </c>
      <c r="I506" s="11">
        <f t="shared" ca="1" si="98"/>
        <v>4.7121729400820822E-2</v>
      </c>
      <c r="J506" s="11">
        <f t="shared" ca="1" si="99"/>
        <v>5</v>
      </c>
      <c r="K506" s="24">
        <v>96</v>
      </c>
      <c r="L506" s="24">
        <f t="shared" ca="1" si="100"/>
        <v>50</v>
      </c>
      <c r="M506" s="24">
        <v>400</v>
      </c>
      <c r="N506" s="24">
        <v>20</v>
      </c>
      <c r="O506" s="24">
        <f t="shared" ca="1" si="101"/>
        <v>566</v>
      </c>
      <c r="P506" s="24">
        <v>524</v>
      </c>
      <c r="Q506" s="11">
        <f t="shared" ca="1" si="102"/>
        <v>50</v>
      </c>
      <c r="R506" s="24">
        <v>200</v>
      </c>
      <c r="S506" s="24">
        <v>10</v>
      </c>
      <c r="T506" s="24">
        <f t="shared" ca="1" si="103"/>
        <v>784</v>
      </c>
    </row>
    <row r="507" spans="1:20" x14ac:dyDescent="0.45">
      <c r="A507" s="11">
        <v>494</v>
      </c>
      <c r="B507" s="11">
        <f t="shared" ca="1" si="91"/>
        <v>0.95814606814566683</v>
      </c>
      <c r="C507" s="11">
        <f t="shared" ca="1" si="92"/>
        <v>1900</v>
      </c>
      <c r="D507" s="11">
        <f t="shared" ca="1" si="93"/>
        <v>3.2072098888418221E-3</v>
      </c>
      <c r="E507" s="11">
        <f t="shared" ca="1" si="94"/>
        <v>1000</v>
      </c>
      <c r="F507" s="11">
        <f t="shared" ca="1" si="95"/>
        <v>0.56326104836738511</v>
      </c>
      <c r="G507" s="11">
        <f t="shared" ca="1" si="96"/>
        <v>1300</v>
      </c>
      <c r="H507" s="11">
        <f t="shared" ca="1" si="97"/>
        <v>1000</v>
      </c>
      <c r="I507" s="11">
        <f t="shared" ca="1" si="98"/>
        <v>0.57002088585104871</v>
      </c>
      <c r="J507" s="11">
        <f t="shared" ca="1" si="99"/>
        <v>5</v>
      </c>
      <c r="K507" s="24">
        <v>96</v>
      </c>
      <c r="L507" s="24">
        <f t="shared" ca="1" si="100"/>
        <v>50</v>
      </c>
      <c r="M507" s="24">
        <v>400</v>
      </c>
      <c r="N507" s="24">
        <v>20</v>
      </c>
      <c r="O507" s="24">
        <f t="shared" ca="1" si="101"/>
        <v>566</v>
      </c>
      <c r="P507" s="24">
        <v>525</v>
      </c>
      <c r="Q507" s="11">
        <f t="shared" ca="1" si="102"/>
        <v>50</v>
      </c>
      <c r="R507" s="24">
        <v>200</v>
      </c>
      <c r="S507" s="24">
        <v>10</v>
      </c>
      <c r="T507" s="24">
        <f t="shared" ca="1" si="103"/>
        <v>785</v>
      </c>
    </row>
    <row r="508" spans="1:20" x14ac:dyDescent="0.45">
      <c r="A508" s="11">
        <v>495</v>
      </c>
      <c r="B508" s="11">
        <f t="shared" ca="1" si="91"/>
        <v>0.52711087180863303</v>
      </c>
      <c r="C508" s="11">
        <f t="shared" ca="1" si="92"/>
        <v>1300</v>
      </c>
      <c r="D508" s="11">
        <f t="shared" ca="1" si="93"/>
        <v>4.2431475928644602E-2</v>
      </c>
      <c r="E508" s="11">
        <f t="shared" ca="1" si="94"/>
        <v>1000</v>
      </c>
      <c r="F508" s="11">
        <f t="shared" ca="1" si="95"/>
        <v>0.59908427472205961</v>
      </c>
      <c r="G508" s="11">
        <f t="shared" ca="1" si="96"/>
        <v>1300</v>
      </c>
      <c r="H508" s="11">
        <f t="shared" ca="1" si="97"/>
        <v>1000</v>
      </c>
      <c r="I508" s="11">
        <f t="shared" ca="1" si="98"/>
        <v>0.43407831032157085</v>
      </c>
      <c r="J508" s="11">
        <f t="shared" ca="1" si="99"/>
        <v>5</v>
      </c>
      <c r="K508" s="24">
        <v>96</v>
      </c>
      <c r="L508" s="24">
        <f t="shared" ca="1" si="100"/>
        <v>50</v>
      </c>
      <c r="M508" s="24">
        <v>400</v>
      </c>
      <c r="N508" s="24">
        <v>20</v>
      </c>
      <c r="O508" s="24">
        <f t="shared" ca="1" si="101"/>
        <v>566</v>
      </c>
      <c r="P508" s="24">
        <v>526</v>
      </c>
      <c r="Q508" s="11">
        <f t="shared" ca="1" si="102"/>
        <v>50</v>
      </c>
      <c r="R508" s="24">
        <v>200</v>
      </c>
      <c r="S508" s="24">
        <v>10</v>
      </c>
      <c r="T508" s="24">
        <f t="shared" ca="1" si="103"/>
        <v>786</v>
      </c>
    </row>
    <row r="509" spans="1:20" x14ac:dyDescent="0.45">
      <c r="A509" s="11">
        <v>496</v>
      </c>
      <c r="B509" s="11">
        <f t="shared" ca="1" si="91"/>
        <v>0.67698164413619977</v>
      </c>
      <c r="C509" s="11">
        <f t="shared" ca="1" si="92"/>
        <v>1400</v>
      </c>
      <c r="D509" s="11">
        <f t="shared" ca="1" si="93"/>
        <v>0.95296858866286882</v>
      </c>
      <c r="E509" s="11">
        <f t="shared" ca="1" si="94"/>
        <v>1900</v>
      </c>
      <c r="F509" s="11">
        <f t="shared" ca="1" si="95"/>
        <v>0.71473682829319118</v>
      </c>
      <c r="G509" s="11">
        <f t="shared" ca="1" si="96"/>
        <v>1500</v>
      </c>
      <c r="H509" s="11">
        <f t="shared" ca="1" si="97"/>
        <v>1400</v>
      </c>
      <c r="I509" s="11">
        <f t="shared" ca="1" si="98"/>
        <v>6.5436596410425873E-2</v>
      </c>
      <c r="J509" s="11">
        <f t="shared" ca="1" si="99"/>
        <v>5</v>
      </c>
      <c r="K509" s="24">
        <v>96</v>
      </c>
      <c r="L509" s="24">
        <f t="shared" ca="1" si="100"/>
        <v>50</v>
      </c>
      <c r="M509" s="24">
        <v>400</v>
      </c>
      <c r="N509" s="24">
        <v>20</v>
      </c>
      <c r="O509" s="24">
        <f t="shared" ca="1" si="101"/>
        <v>566</v>
      </c>
      <c r="P509" s="24">
        <v>527</v>
      </c>
      <c r="Q509" s="11">
        <f t="shared" ca="1" si="102"/>
        <v>50</v>
      </c>
      <c r="R509" s="24">
        <v>200</v>
      </c>
      <c r="S509" s="24">
        <v>10</v>
      </c>
      <c r="T509" s="24">
        <f t="shared" ca="1" si="103"/>
        <v>787</v>
      </c>
    </row>
    <row r="510" spans="1:20" x14ac:dyDescent="0.45">
      <c r="A510" s="11">
        <v>497</v>
      </c>
      <c r="B510" s="11">
        <f t="shared" ca="1" si="91"/>
        <v>0.13451007266819803</v>
      </c>
      <c r="C510" s="11">
        <f t="shared" ca="1" si="92"/>
        <v>1100</v>
      </c>
      <c r="D510" s="11">
        <f t="shared" ca="1" si="93"/>
        <v>0.46697957541979462</v>
      </c>
      <c r="E510" s="11">
        <f t="shared" ca="1" si="94"/>
        <v>1200</v>
      </c>
      <c r="F510" s="11">
        <f t="shared" ca="1" si="95"/>
        <v>6.4135522685107249E-2</v>
      </c>
      <c r="G510" s="11">
        <f t="shared" ca="1" si="96"/>
        <v>1000</v>
      </c>
      <c r="H510" s="11">
        <f t="shared" ca="1" si="97"/>
        <v>1000</v>
      </c>
      <c r="I510" s="11">
        <f t="shared" ca="1" si="98"/>
        <v>6.6826173644617626E-2</v>
      </c>
      <c r="J510" s="11">
        <f t="shared" ca="1" si="99"/>
        <v>5</v>
      </c>
      <c r="K510" s="24">
        <v>96</v>
      </c>
      <c r="L510" s="24">
        <f t="shared" ca="1" si="100"/>
        <v>50</v>
      </c>
      <c r="M510" s="24">
        <v>400</v>
      </c>
      <c r="N510" s="24">
        <v>20</v>
      </c>
      <c r="O510" s="24">
        <f t="shared" ca="1" si="101"/>
        <v>566</v>
      </c>
      <c r="P510" s="24">
        <v>528</v>
      </c>
      <c r="Q510" s="11">
        <f t="shared" ca="1" si="102"/>
        <v>50</v>
      </c>
      <c r="R510" s="24">
        <v>200</v>
      </c>
      <c r="S510" s="24">
        <v>10</v>
      </c>
      <c r="T510" s="24">
        <f t="shared" ca="1" si="103"/>
        <v>788</v>
      </c>
    </row>
    <row r="511" spans="1:20" x14ac:dyDescent="0.45">
      <c r="A511" s="11">
        <v>498</v>
      </c>
      <c r="B511" s="11">
        <f t="shared" ca="1" si="91"/>
        <v>0.70043723042711437</v>
      </c>
      <c r="C511" s="11">
        <f t="shared" ca="1" si="92"/>
        <v>1500</v>
      </c>
      <c r="D511" s="11">
        <f t="shared" ca="1" si="93"/>
        <v>0.3782372990774775</v>
      </c>
      <c r="E511" s="11">
        <f t="shared" ca="1" si="94"/>
        <v>1200</v>
      </c>
      <c r="F511" s="11">
        <f t="shared" ca="1" si="95"/>
        <v>0.78570697538522538</v>
      </c>
      <c r="G511" s="11">
        <f t="shared" ca="1" si="96"/>
        <v>1500</v>
      </c>
      <c r="H511" s="11">
        <f t="shared" ca="1" si="97"/>
        <v>1200</v>
      </c>
      <c r="I511" s="11">
        <f t="shared" ca="1" si="98"/>
        <v>0.91674914978445987</v>
      </c>
      <c r="J511" s="11">
        <f t="shared" ca="1" si="99"/>
        <v>15</v>
      </c>
      <c r="K511" s="24">
        <v>96</v>
      </c>
      <c r="L511" s="24">
        <f t="shared" ca="1" si="100"/>
        <v>150</v>
      </c>
      <c r="M511" s="24">
        <v>400</v>
      </c>
      <c r="N511" s="24">
        <v>20</v>
      </c>
      <c r="O511" s="24">
        <f t="shared" ca="1" si="101"/>
        <v>666</v>
      </c>
      <c r="P511" s="24">
        <v>529</v>
      </c>
      <c r="Q511" s="11">
        <f t="shared" ca="1" si="102"/>
        <v>150</v>
      </c>
      <c r="R511" s="24">
        <v>200</v>
      </c>
      <c r="S511" s="24">
        <v>10</v>
      </c>
      <c r="T511" s="24">
        <f t="shared" ca="1" si="103"/>
        <v>889</v>
      </c>
    </row>
    <row r="512" spans="1:20" x14ac:dyDescent="0.45">
      <c r="A512" s="11">
        <v>499</v>
      </c>
      <c r="B512" s="11">
        <f t="shared" ca="1" si="91"/>
        <v>6.0843938730568148E-3</v>
      </c>
      <c r="C512" s="11">
        <f t="shared" ca="1" si="92"/>
        <v>1000</v>
      </c>
      <c r="D512" s="11">
        <f t="shared" ca="1" si="93"/>
        <v>0.58458359690523376</v>
      </c>
      <c r="E512" s="11">
        <f t="shared" ca="1" si="94"/>
        <v>1300</v>
      </c>
      <c r="F512" s="11">
        <f t="shared" ca="1" si="95"/>
        <v>0.46588563237810399</v>
      </c>
      <c r="G512" s="11">
        <f t="shared" ca="1" si="96"/>
        <v>1200</v>
      </c>
      <c r="H512" s="11">
        <f t="shared" ca="1" si="97"/>
        <v>1000</v>
      </c>
      <c r="I512" s="11">
        <f t="shared" ca="1" si="98"/>
        <v>0.96666442416589371</v>
      </c>
      <c r="J512" s="11">
        <f t="shared" ca="1" si="99"/>
        <v>15</v>
      </c>
      <c r="K512" s="24">
        <v>96</v>
      </c>
      <c r="L512" s="24">
        <f t="shared" ca="1" si="100"/>
        <v>150</v>
      </c>
      <c r="M512" s="24">
        <v>400</v>
      </c>
      <c r="N512" s="24">
        <v>20</v>
      </c>
      <c r="O512" s="24">
        <f t="shared" ca="1" si="101"/>
        <v>666</v>
      </c>
      <c r="P512" s="24">
        <v>530</v>
      </c>
      <c r="Q512" s="11">
        <f t="shared" ca="1" si="102"/>
        <v>150</v>
      </c>
      <c r="R512" s="24">
        <v>200</v>
      </c>
      <c r="S512" s="24">
        <v>10</v>
      </c>
      <c r="T512" s="24">
        <f t="shared" ca="1" si="103"/>
        <v>890</v>
      </c>
    </row>
    <row r="513" spans="1:20" x14ac:dyDescent="0.45">
      <c r="A513" s="11">
        <v>500</v>
      </c>
      <c r="B513" s="11">
        <f t="shared" ca="1" si="91"/>
        <v>0.23060644367085037</v>
      </c>
      <c r="C513" s="11">
        <f t="shared" ca="1" si="92"/>
        <v>1200</v>
      </c>
      <c r="D513" s="11">
        <f t="shared" ca="1" si="93"/>
        <v>0.12643273051791171</v>
      </c>
      <c r="E513" s="11">
        <f t="shared" ca="1" si="94"/>
        <v>1100</v>
      </c>
      <c r="F513" s="11">
        <f t="shared" ca="1" si="95"/>
        <v>3.531130416230277E-2</v>
      </c>
      <c r="G513" s="11">
        <f t="shared" ca="1" si="96"/>
        <v>1000</v>
      </c>
      <c r="H513" s="11">
        <f t="shared" ca="1" si="97"/>
        <v>1000</v>
      </c>
      <c r="I513" s="11">
        <f t="shared" ca="1" si="98"/>
        <v>0.61775914183683289</v>
      </c>
      <c r="J513" s="11">
        <f t="shared" ca="1" si="99"/>
        <v>10</v>
      </c>
      <c r="K513" s="24">
        <v>96</v>
      </c>
      <c r="L513" s="24">
        <f t="shared" ca="1" si="100"/>
        <v>100</v>
      </c>
      <c r="M513" s="24">
        <v>400</v>
      </c>
      <c r="N513" s="24">
        <v>20</v>
      </c>
      <c r="O513" s="24">
        <f t="shared" ca="1" si="101"/>
        <v>616</v>
      </c>
      <c r="P513" s="24">
        <v>531</v>
      </c>
      <c r="Q513" s="11">
        <f t="shared" ca="1" si="102"/>
        <v>100</v>
      </c>
      <c r="R513" s="24">
        <v>200</v>
      </c>
      <c r="S513" s="24">
        <v>10</v>
      </c>
      <c r="T513" s="24">
        <f t="shared" ca="1" si="103"/>
        <v>841</v>
      </c>
    </row>
    <row r="514" spans="1:20" x14ac:dyDescent="0.45">
      <c r="A514" s="11">
        <v>501</v>
      </c>
      <c r="B514" s="11">
        <f t="shared" ca="1" si="91"/>
        <v>0.29374616922791408</v>
      </c>
      <c r="C514" s="11">
        <f t="shared" ca="1" si="92"/>
        <v>1200</v>
      </c>
      <c r="D514" s="11">
        <f t="shared" ca="1" si="93"/>
        <v>0.51071782002746169</v>
      </c>
      <c r="E514" s="11">
        <f t="shared" ca="1" si="94"/>
        <v>1300</v>
      </c>
      <c r="F514" s="11">
        <f t="shared" ca="1" si="95"/>
        <v>0.85626422091026955</v>
      </c>
      <c r="G514" s="11">
        <f t="shared" ca="1" si="96"/>
        <v>1700</v>
      </c>
      <c r="H514" s="11">
        <f t="shared" ca="1" si="97"/>
        <v>1200</v>
      </c>
      <c r="I514" s="11">
        <f t="shared" ca="1" si="98"/>
        <v>0.96752218344006169</v>
      </c>
      <c r="J514" s="11">
        <f t="shared" ca="1" si="99"/>
        <v>15</v>
      </c>
      <c r="K514" s="24">
        <v>96</v>
      </c>
      <c r="L514" s="24">
        <f t="shared" ca="1" si="100"/>
        <v>150</v>
      </c>
      <c r="M514" s="24">
        <v>400</v>
      </c>
      <c r="N514" s="24">
        <v>20</v>
      </c>
      <c r="O514" s="24">
        <f t="shared" ca="1" si="101"/>
        <v>666</v>
      </c>
      <c r="P514" s="24">
        <v>532</v>
      </c>
      <c r="Q514" s="11">
        <f t="shared" ca="1" si="102"/>
        <v>150</v>
      </c>
      <c r="R514" s="24">
        <v>200</v>
      </c>
      <c r="S514" s="24">
        <v>10</v>
      </c>
      <c r="T514" s="24">
        <f t="shared" ca="1" si="103"/>
        <v>892</v>
      </c>
    </row>
    <row r="515" spans="1:20" x14ac:dyDescent="0.45">
      <c r="A515" s="11">
        <v>502</v>
      </c>
      <c r="B515" s="11">
        <f t="shared" ca="1" si="91"/>
        <v>0.1709726030347668</v>
      </c>
      <c r="C515" s="11">
        <f t="shared" ca="1" si="92"/>
        <v>1100</v>
      </c>
      <c r="D515" s="11">
        <f t="shared" ca="1" si="93"/>
        <v>0.88014367166934315</v>
      </c>
      <c r="E515" s="11">
        <f t="shared" ca="1" si="94"/>
        <v>1700</v>
      </c>
      <c r="F515" s="11">
        <f t="shared" ca="1" si="95"/>
        <v>0.81682567098626746</v>
      </c>
      <c r="G515" s="11">
        <f t="shared" ca="1" si="96"/>
        <v>1500</v>
      </c>
      <c r="H515" s="11">
        <f t="shared" ca="1" si="97"/>
        <v>1100</v>
      </c>
      <c r="I515" s="11">
        <f t="shared" ca="1" si="98"/>
        <v>0.9426983454941571</v>
      </c>
      <c r="J515" s="11">
        <f t="shared" ca="1" si="99"/>
        <v>15</v>
      </c>
      <c r="K515" s="24">
        <v>96</v>
      </c>
      <c r="L515" s="24">
        <f t="shared" ca="1" si="100"/>
        <v>150</v>
      </c>
      <c r="M515" s="24">
        <v>400</v>
      </c>
      <c r="N515" s="24">
        <v>20</v>
      </c>
      <c r="O515" s="24">
        <f t="shared" ca="1" si="101"/>
        <v>666</v>
      </c>
      <c r="P515" s="24">
        <v>533</v>
      </c>
      <c r="Q515" s="11">
        <f t="shared" ca="1" si="102"/>
        <v>150</v>
      </c>
      <c r="R515" s="24">
        <v>200</v>
      </c>
      <c r="S515" s="24">
        <v>10</v>
      </c>
      <c r="T515" s="24">
        <f t="shared" ca="1" si="103"/>
        <v>893</v>
      </c>
    </row>
    <row r="516" spans="1:20" x14ac:dyDescent="0.45">
      <c r="A516" s="11">
        <v>503</v>
      </c>
      <c r="B516" s="11">
        <f t="shared" ca="1" si="91"/>
        <v>0.6241626735930581</v>
      </c>
      <c r="C516" s="11">
        <f t="shared" ca="1" si="92"/>
        <v>1400</v>
      </c>
      <c r="D516" s="11">
        <f t="shared" ca="1" si="93"/>
        <v>0.66764333793949249</v>
      </c>
      <c r="E516" s="11">
        <f t="shared" ca="1" si="94"/>
        <v>1400</v>
      </c>
      <c r="F516" s="11">
        <f t="shared" ca="1" si="95"/>
        <v>0.42704672840195579</v>
      </c>
      <c r="G516" s="11">
        <f t="shared" ca="1" si="96"/>
        <v>1200</v>
      </c>
      <c r="H516" s="11">
        <f t="shared" ca="1" si="97"/>
        <v>1200</v>
      </c>
      <c r="I516" s="11">
        <f t="shared" ca="1" si="98"/>
        <v>0.40425065531846605</v>
      </c>
      <c r="J516" s="11">
        <f t="shared" ca="1" si="99"/>
        <v>5</v>
      </c>
      <c r="K516" s="24">
        <v>96</v>
      </c>
      <c r="L516" s="24">
        <f t="shared" ca="1" si="100"/>
        <v>50</v>
      </c>
      <c r="M516" s="24">
        <v>400</v>
      </c>
      <c r="N516" s="24">
        <v>20</v>
      </c>
      <c r="O516" s="24">
        <f t="shared" ca="1" si="101"/>
        <v>566</v>
      </c>
      <c r="P516" s="24">
        <v>534</v>
      </c>
      <c r="Q516" s="11">
        <f t="shared" ca="1" si="102"/>
        <v>50</v>
      </c>
      <c r="R516" s="24">
        <v>200</v>
      </c>
      <c r="S516" s="24">
        <v>10</v>
      </c>
      <c r="T516" s="24">
        <f t="shared" ca="1" si="103"/>
        <v>794</v>
      </c>
    </row>
    <row r="517" spans="1:20" x14ac:dyDescent="0.45">
      <c r="A517" s="11">
        <v>504</v>
      </c>
      <c r="B517" s="11">
        <f t="shared" ca="1" si="91"/>
        <v>0.83471132906736423</v>
      </c>
      <c r="C517" s="11">
        <f t="shared" ca="1" si="92"/>
        <v>1600</v>
      </c>
      <c r="D517" s="11">
        <f t="shared" ca="1" si="93"/>
        <v>0.21781323598068736</v>
      </c>
      <c r="E517" s="11">
        <f t="shared" ca="1" si="94"/>
        <v>1100</v>
      </c>
      <c r="F517" s="11">
        <f t="shared" ca="1" si="95"/>
        <v>0.15985893568353793</v>
      </c>
      <c r="G517" s="11">
        <f t="shared" ca="1" si="96"/>
        <v>1100</v>
      </c>
      <c r="H517" s="11">
        <f t="shared" ca="1" si="97"/>
        <v>1100</v>
      </c>
      <c r="I517" s="11">
        <f t="shared" ca="1" si="98"/>
        <v>0.20948360665155452</v>
      </c>
      <c r="J517" s="11">
        <f t="shared" ca="1" si="99"/>
        <v>5</v>
      </c>
      <c r="K517" s="24">
        <v>96</v>
      </c>
      <c r="L517" s="24">
        <f t="shared" ca="1" si="100"/>
        <v>50</v>
      </c>
      <c r="M517" s="24">
        <v>400</v>
      </c>
      <c r="N517" s="24">
        <v>20</v>
      </c>
      <c r="O517" s="24">
        <f t="shared" ca="1" si="101"/>
        <v>566</v>
      </c>
      <c r="P517" s="24">
        <v>535</v>
      </c>
      <c r="Q517" s="11">
        <f t="shared" ca="1" si="102"/>
        <v>50</v>
      </c>
      <c r="R517" s="24">
        <v>200</v>
      </c>
      <c r="S517" s="24">
        <v>10</v>
      </c>
      <c r="T517" s="24">
        <f t="shared" ca="1" si="103"/>
        <v>795</v>
      </c>
    </row>
    <row r="518" spans="1:20" x14ac:dyDescent="0.45">
      <c r="A518" s="11">
        <v>505</v>
      </c>
      <c r="B518" s="11">
        <f t="shared" ca="1" si="91"/>
        <v>0.66936831141486397</v>
      </c>
      <c r="C518" s="11">
        <f t="shared" ca="1" si="92"/>
        <v>1400</v>
      </c>
      <c r="D518" s="11">
        <f t="shared" ca="1" si="93"/>
        <v>0.33245032958690468</v>
      </c>
      <c r="E518" s="11">
        <f t="shared" ca="1" si="94"/>
        <v>1200</v>
      </c>
      <c r="F518" s="11">
        <f t="shared" ca="1" si="95"/>
        <v>0.75032988197745565</v>
      </c>
      <c r="G518" s="11">
        <f t="shared" ca="1" si="96"/>
        <v>1500</v>
      </c>
      <c r="H518" s="11">
        <f t="shared" ca="1" si="97"/>
        <v>1200</v>
      </c>
      <c r="I518" s="11">
        <f t="shared" ca="1" si="98"/>
        <v>0.18391018720865382</v>
      </c>
      <c r="J518" s="11">
        <f t="shared" ca="1" si="99"/>
        <v>5</v>
      </c>
      <c r="K518" s="24">
        <v>96</v>
      </c>
      <c r="L518" s="24">
        <f t="shared" ca="1" si="100"/>
        <v>50</v>
      </c>
      <c r="M518" s="24">
        <v>400</v>
      </c>
      <c r="N518" s="24">
        <v>20</v>
      </c>
      <c r="O518" s="24">
        <f t="shared" ca="1" si="101"/>
        <v>566</v>
      </c>
      <c r="P518" s="24">
        <v>536</v>
      </c>
      <c r="Q518" s="11">
        <f t="shared" ca="1" si="102"/>
        <v>50</v>
      </c>
      <c r="R518" s="24">
        <v>200</v>
      </c>
      <c r="S518" s="24">
        <v>10</v>
      </c>
      <c r="T518" s="24">
        <f t="shared" ca="1" si="103"/>
        <v>796</v>
      </c>
    </row>
    <row r="519" spans="1:20" x14ac:dyDescent="0.45">
      <c r="A519" s="11">
        <v>506</v>
      </c>
      <c r="B519" s="11">
        <f t="shared" ca="1" si="91"/>
        <v>0.84928014580872713</v>
      </c>
      <c r="C519" s="11">
        <f t="shared" ca="1" si="92"/>
        <v>1700</v>
      </c>
      <c r="D519" s="11">
        <f t="shared" ca="1" si="93"/>
        <v>0.29168643897984081</v>
      </c>
      <c r="E519" s="11">
        <f t="shared" ca="1" si="94"/>
        <v>1200</v>
      </c>
      <c r="F519" s="11">
        <f t="shared" ca="1" si="95"/>
        <v>0.64521054337137718</v>
      </c>
      <c r="G519" s="11">
        <f t="shared" ca="1" si="96"/>
        <v>1400</v>
      </c>
      <c r="H519" s="11">
        <f t="shared" ca="1" si="97"/>
        <v>1200</v>
      </c>
      <c r="I519" s="11">
        <f t="shared" ca="1" si="98"/>
        <v>0.13069443836934025</v>
      </c>
      <c r="J519" s="11">
        <f t="shared" ca="1" si="99"/>
        <v>5</v>
      </c>
      <c r="K519" s="24">
        <v>96</v>
      </c>
      <c r="L519" s="24">
        <f t="shared" ca="1" si="100"/>
        <v>50</v>
      </c>
      <c r="M519" s="24">
        <v>400</v>
      </c>
      <c r="N519" s="24">
        <v>20</v>
      </c>
      <c r="O519" s="24">
        <f t="shared" ca="1" si="101"/>
        <v>566</v>
      </c>
      <c r="P519" s="24">
        <v>537</v>
      </c>
      <c r="Q519" s="11">
        <f t="shared" ca="1" si="102"/>
        <v>50</v>
      </c>
      <c r="R519" s="24">
        <v>200</v>
      </c>
      <c r="S519" s="24">
        <v>10</v>
      </c>
      <c r="T519" s="24">
        <f t="shared" ca="1" si="103"/>
        <v>797</v>
      </c>
    </row>
    <row r="520" spans="1:20" x14ac:dyDescent="0.45">
      <c r="A520" s="11">
        <v>507</v>
      </c>
      <c r="B520" s="11">
        <f t="shared" ca="1" si="91"/>
        <v>0.9555393609954892</v>
      </c>
      <c r="C520" s="11">
        <f t="shared" ca="1" si="92"/>
        <v>1900</v>
      </c>
      <c r="D520" s="11">
        <f t="shared" ca="1" si="93"/>
        <v>0.79430205682672328</v>
      </c>
      <c r="E520" s="11">
        <f t="shared" ca="1" si="94"/>
        <v>1500</v>
      </c>
      <c r="F520" s="11">
        <f t="shared" ca="1" si="95"/>
        <v>0.71730548783644887</v>
      </c>
      <c r="G520" s="11">
        <f t="shared" ca="1" si="96"/>
        <v>1500</v>
      </c>
      <c r="H520" s="11">
        <f t="shared" ca="1" si="97"/>
        <v>1500</v>
      </c>
      <c r="I520" s="11">
        <f t="shared" ca="1" si="98"/>
        <v>0.80555730607725284</v>
      </c>
      <c r="J520" s="11">
        <f t="shared" ca="1" si="99"/>
        <v>10</v>
      </c>
      <c r="K520" s="24">
        <v>96</v>
      </c>
      <c r="L520" s="24">
        <f t="shared" ca="1" si="100"/>
        <v>100</v>
      </c>
      <c r="M520" s="24">
        <v>400</v>
      </c>
      <c r="N520" s="24">
        <v>20</v>
      </c>
      <c r="O520" s="24">
        <f t="shared" ca="1" si="101"/>
        <v>616</v>
      </c>
      <c r="P520" s="24">
        <v>538</v>
      </c>
      <c r="Q520" s="11">
        <f t="shared" ca="1" si="102"/>
        <v>100</v>
      </c>
      <c r="R520" s="24">
        <v>200</v>
      </c>
      <c r="S520" s="24">
        <v>10</v>
      </c>
      <c r="T520" s="24">
        <f t="shared" ca="1" si="103"/>
        <v>848</v>
      </c>
    </row>
    <row r="521" spans="1:20" x14ac:dyDescent="0.45">
      <c r="A521" s="11">
        <v>508</v>
      </c>
      <c r="B521" s="11">
        <f t="shared" ca="1" si="91"/>
        <v>0.55701661615766829</v>
      </c>
      <c r="C521" s="11">
        <f t="shared" ca="1" si="92"/>
        <v>1300</v>
      </c>
      <c r="D521" s="11">
        <f t="shared" ca="1" si="93"/>
        <v>0.54769112466078707</v>
      </c>
      <c r="E521" s="11">
        <f t="shared" ca="1" si="94"/>
        <v>1300</v>
      </c>
      <c r="F521" s="11">
        <f t="shared" ca="1" si="95"/>
        <v>0.8849424962753184</v>
      </c>
      <c r="G521" s="11">
        <f t="shared" ca="1" si="96"/>
        <v>1700</v>
      </c>
      <c r="H521" s="11">
        <f t="shared" ca="1" si="97"/>
        <v>1300</v>
      </c>
      <c r="I521" s="11">
        <f t="shared" ca="1" si="98"/>
        <v>0.61661283367944808</v>
      </c>
      <c r="J521" s="11">
        <f t="shared" ca="1" si="99"/>
        <v>10</v>
      </c>
      <c r="K521" s="24">
        <v>96</v>
      </c>
      <c r="L521" s="24">
        <f t="shared" ca="1" si="100"/>
        <v>100</v>
      </c>
      <c r="M521" s="24">
        <v>400</v>
      </c>
      <c r="N521" s="24">
        <v>20</v>
      </c>
      <c r="O521" s="24">
        <f t="shared" ca="1" si="101"/>
        <v>616</v>
      </c>
      <c r="P521" s="24">
        <v>539</v>
      </c>
      <c r="Q521" s="11">
        <f t="shared" ca="1" si="102"/>
        <v>100</v>
      </c>
      <c r="R521" s="24">
        <v>200</v>
      </c>
      <c r="S521" s="24">
        <v>10</v>
      </c>
      <c r="T521" s="24">
        <f t="shared" ca="1" si="103"/>
        <v>849</v>
      </c>
    </row>
    <row r="522" spans="1:20" x14ac:dyDescent="0.45">
      <c r="A522" s="11">
        <v>509</v>
      </c>
      <c r="B522" s="11">
        <f t="shared" ca="1" si="91"/>
        <v>0.82375204579044037</v>
      </c>
      <c r="C522" s="11">
        <f t="shared" ca="1" si="92"/>
        <v>1600</v>
      </c>
      <c r="D522" s="11">
        <f t="shared" ca="1" si="93"/>
        <v>0.50088008437958431</v>
      </c>
      <c r="E522" s="11">
        <f t="shared" ca="1" si="94"/>
        <v>1300</v>
      </c>
      <c r="F522" s="11">
        <f t="shared" ca="1" si="95"/>
        <v>0.29265014430200342</v>
      </c>
      <c r="G522" s="11">
        <f t="shared" ca="1" si="96"/>
        <v>1200</v>
      </c>
      <c r="H522" s="11">
        <f t="shared" ca="1" si="97"/>
        <v>1200</v>
      </c>
      <c r="I522" s="11">
        <f t="shared" ca="1" si="98"/>
        <v>0.48631108800905953</v>
      </c>
      <c r="J522" s="11">
        <f t="shared" ca="1" si="99"/>
        <v>5</v>
      </c>
      <c r="K522" s="24">
        <v>96</v>
      </c>
      <c r="L522" s="24">
        <f t="shared" ca="1" si="100"/>
        <v>50</v>
      </c>
      <c r="M522" s="24">
        <v>400</v>
      </c>
      <c r="N522" s="24">
        <v>20</v>
      </c>
      <c r="O522" s="24">
        <f t="shared" ca="1" si="101"/>
        <v>566</v>
      </c>
      <c r="P522" s="24">
        <v>540</v>
      </c>
      <c r="Q522" s="11">
        <f t="shared" ca="1" si="102"/>
        <v>50</v>
      </c>
      <c r="R522" s="24">
        <v>200</v>
      </c>
      <c r="S522" s="24">
        <v>10</v>
      </c>
      <c r="T522" s="24">
        <f t="shared" ca="1" si="103"/>
        <v>800</v>
      </c>
    </row>
    <row r="523" spans="1:20" x14ac:dyDescent="0.45">
      <c r="A523" s="11">
        <v>510</v>
      </c>
      <c r="B523" s="11">
        <f t="shared" ca="1" si="91"/>
        <v>0.77387105619681618</v>
      </c>
      <c r="C523" s="11">
        <f t="shared" ca="1" si="92"/>
        <v>1500</v>
      </c>
      <c r="D523" s="11">
        <f t="shared" ca="1" si="93"/>
        <v>0.84139232344383286</v>
      </c>
      <c r="E523" s="11">
        <f t="shared" ca="1" si="94"/>
        <v>1700</v>
      </c>
      <c r="F523" s="11">
        <f t="shared" ca="1" si="95"/>
        <v>0.2087511182386762</v>
      </c>
      <c r="G523" s="11">
        <f t="shared" ca="1" si="96"/>
        <v>1100</v>
      </c>
      <c r="H523" s="11">
        <f t="shared" ca="1" si="97"/>
        <v>1100</v>
      </c>
      <c r="I523" s="11">
        <f t="shared" ca="1" si="98"/>
        <v>0.40751549307230339</v>
      </c>
      <c r="J523" s="11">
        <f t="shared" ca="1" si="99"/>
        <v>5</v>
      </c>
      <c r="K523" s="24">
        <v>96</v>
      </c>
      <c r="L523" s="24">
        <f t="shared" ca="1" si="100"/>
        <v>50</v>
      </c>
      <c r="M523" s="24">
        <v>400</v>
      </c>
      <c r="N523" s="24">
        <v>20</v>
      </c>
      <c r="O523" s="24">
        <f t="shared" ca="1" si="101"/>
        <v>566</v>
      </c>
      <c r="P523" s="24">
        <v>541</v>
      </c>
      <c r="Q523" s="11">
        <f t="shared" ca="1" si="102"/>
        <v>50</v>
      </c>
      <c r="R523" s="24">
        <v>200</v>
      </c>
      <c r="S523" s="24">
        <v>10</v>
      </c>
      <c r="T523" s="24">
        <f t="shared" ca="1" si="103"/>
        <v>801</v>
      </c>
    </row>
    <row r="524" spans="1:20" x14ac:dyDescent="0.45">
      <c r="A524" s="11">
        <v>511</v>
      </c>
      <c r="B524" s="11">
        <f t="shared" ca="1" si="91"/>
        <v>0.63265044463646858</v>
      </c>
      <c r="C524" s="11">
        <f t="shared" ca="1" si="92"/>
        <v>1400</v>
      </c>
      <c r="D524" s="11">
        <f t="shared" ca="1" si="93"/>
        <v>0.17229877102254965</v>
      </c>
      <c r="E524" s="11">
        <f t="shared" ca="1" si="94"/>
        <v>1100</v>
      </c>
      <c r="F524" s="11">
        <f t="shared" ca="1" si="95"/>
        <v>0.58444318507932813</v>
      </c>
      <c r="G524" s="11">
        <f t="shared" ca="1" si="96"/>
        <v>1300</v>
      </c>
      <c r="H524" s="11">
        <f t="shared" ca="1" si="97"/>
        <v>1100</v>
      </c>
      <c r="I524" s="11">
        <f t="shared" ca="1" si="98"/>
        <v>6.2866366867425083E-2</v>
      </c>
      <c r="J524" s="11">
        <f t="shared" ca="1" si="99"/>
        <v>5</v>
      </c>
      <c r="K524" s="24">
        <v>96</v>
      </c>
      <c r="L524" s="24">
        <f t="shared" ca="1" si="100"/>
        <v>50</v>
      </c>
      <c r="M524" s="24">
        <v>400</v>
      </c>
      <c r="N524" s="24">
        <v>20</v>
      </c>
      <c r="O524" s="24">
        <f t="shared" ca="1" si="101"/>
        <v>566</v>
      </c>
      <c r="P524" s="24">
        <v>542</v>
      </c>
      <c r="Q524" s="11">
        <f t="shared" ca="1" si="102"/>
        <v>50</v>
      </c>
      <c r="R524" s="24">
        <v>200</v>
      </c>
      <c r="S524" s="24">
        <v>10</v>
      </c>
      <c r="T524" s="24">
        <f t="shared" ca="1" si="103"/>
        <v>802</v>
      </c>
    </row>
    <row r="525" spans="1:20" x14ac:dyDescent="0.45">
      <c r="A525" s="11">
        <v>512</v>
      </c>
      <c r="B525" s="11">
        <f t="shared" ca="1" si="91"/>
        <v>0.93092130471586121</v>
      </c>
      <c r="C525" s="11">
        <f t="shared" ca="1" si="92"/>
        <v>1800</v>
      </c>
      <c r="D525" s="11">
        <f t="shared" ca="1" si="93"/>
        <v>0.79265587091391987</v>
      </c>
      <c r="E525" s="11">
        <f t="shared" ca="1" si="94"/>
        <v>1500</v>
      </c>
      <c r="F525" s="11">
        <f t="shared" ca="1" si="95"/>
        <v>0.3505912015771202</v>
      </c>
      <c r="G525" s="11">
        <f t="shared" ca="1" si="96"/>
        <v>1200</v>
      </c>
      <c r="H525" s="11">
        <f t="shared" ca="1" si="97"/>
        <v>1200</v>
      </c>
      <c r="I525" s="11">
        <f t="shared" ca="1" si="98"/>
        <v>0.50903180777486967</v>
      </c>
      <c r="J525" s="11">
        <f t="shared" ca="1" si="99"/>
        <v>5</v>
      </c>
      <c r="K525" s="24">
        <v>96</v>
      </c>
      <c r="L525" s="24">
        <f t="shared" ca="1" si="100"/>
        <v>50</v>
      </c>
      <c r="M525" s="24">
        <v>400</v>
      </c>
      <c r="N525" s="24">
        <v>20</v>
      </c>
      <c r="O525" s="24">
        <f t="shared" ca="1" si="101"/>
        <v>566</v>
      </c>
      <c r="P525" s="24">
        <v>543</v>
      </c>
      <c r="Q525" s="11">
        <f t="shared" ca="1" si="102"/>
        <v>50</v>
      </c>
      <c r="R525" s="24">
        <v>200</v>
      </c>
      <c r="S525" s="24">
        <v>10</v>
      </c>
      <c r="T525" s="24">
        <f t="shared" ca="1" si="103"/>
        <v>803</v>
      </c>
    </row>
    <row r="526" spans="1:20" x14ac:dyDescent="0.45">
      <c r="A526" s="11">
        <v>513</v>
      </c>
      <c r="B526" s="11">
        <f t="shared" ca="1" si="91"/>
        <v>0.4235725701008185</v>
      </c>
      <c r="C526" s="11">
        <f t="shared" ca="1" si="92"/>
        <v>1200</v>
      </c>
      <c r="D526" s="11">
        <f t="shared" ca="1" si="93"/>
        <v>0.18088171124763663</v>
      </c>
      <c r="E526" s="11">
        <f t="shared" ca="1" si="94"/>
        <v>1100</v>
      </c>
      <c r="F526" s="11">
        <f t="shared" ca="1" si="95"/>
        <v>0.35368928586308102</v>
      </c>
      <c r="G526" s="11">
        <f t="shared" ca="1" si="96"/>
        <v>1200</v>
      </c>
      <c r="H526" s="11">
        <f t="shared" ca="1" si="97"/>
        <v>1100</v>
      </c>
      <c r="I526" s="11">
        <f t="shared" ca="1" si="98"/>
        <v>0.72367478462007595</v>
      </c>
      <c r="J526" s="11">
        <f t="shared" ca="1" si="99"/>
        <v>10</v>
      </c>
      <c r="K526" s="24">
        <v>96</v>
      </c>
      <c r="L526" s="24">
        <f t="shared" ca="1" si="100"/>
        <v>100</v>
      </c>
      <c r="M526" s="24">
        <v>400</v>
      </c>
      <c r="N526" s="24">
        <v>20</v>
      </c>
      <c r="O526" s="24">
        <f t="shared" ca="1" si="101"/>
        <v>616</v>
      </c>
      <c r="P526" s="24">
        <v>544</v>
      </c>
      <c r="Q526" s="11">
        <f t="shared" ca="1" si="102"/>
        <v>100</v>
      </c>
      <c r="R526" s="24">
        <v>200</v>
      </c>
      <c r="S526" s="24">
        <v>10</v>
      </c>
      <c r="T526" s="24">
        <f t="shared" ca="1" si="103"/>
        <v>854</v>
      </c>
    </row>
    <row r="527" spans="1:20" x14ac:dyDescent="0.45">
      <c r="A527" s="11">
        <v>514</v>
      </c>
      <c r="B527" s="11">
        <f t="shared" ref="B527:B590" ca="1" si="104">RAND()</f>
        <v>0.76551248205844591</v>
      </c>
      <c r="C527" s="11">
        <f t="shared" ref="C527:C590" ca="1" si="105">LOOKUP(B527, $C$2:$C$11, $A$2:$A$11)</f>
        <v>1500</v>
      </c>
      <c r="D527" s="11">
        <f t="shared" ref="D527:D590" ca="1" si="106">RAND()</f>
        <v>0.20224431519573804</v>
      </c>
      <c r="E527" s="11">
        <f t="shared" ref="E527:E590" ca="1" si="107">LOOKUP(D527, $C$2:$C$11, $A$2:$A$11)</f>
        <v>1100</v>
      </c>
      <c r="F527" s="11">
        <f t="shared" ref="F527:F590" ca="1" si="108">RAND()</f>
        <v>0.52855981224583004</v>
      </c>
      <c r="G527" s="11">
        <f t="shared" ref="G527:G590" ca="1" si="109">LOOKUP(F527, $C$2:$C$11, $A$2:$A$11)</f>
        <v>1300</v>
      </c>
      <c r="H527" s="11">
        <f t="shared" ref="H527:H590" ca="1" si="110">MIN(C527, E527, G527)</f>
        <v>1100</v>
      </c>
      <c r="I527" s="11">
        <f t="shared" ref="I527:I590" ca="1" si="111">RAND()</f>
        <v>0.85889311345705699</v>
      </c>
      <c r="J527" s="11">
        <f t="shared" ref="J527:J590" ca="1" si="112">LOOKUP(I527, $G$2:$G$4, $E$2:$E$4)</f>
        <v>10</v>
      </c>
      <c r="K527" s="24">
        <v>96</v>
      </c>
      <c r="L527" s="24">
        <f t="shared" ref="L527:L590" ca="1" si="113">J527*10</f>
        <v>100</v>
      </c>
      <c r="M527" s="24">
        <v>400</v>
      </c>
      <c r="N527" s="24">
        <v>20</v>
      </c>
      <c r="O527" s="24">
        <f t="shared" ref="O527:O590" ca="1" si="114">K527+L527+M527+N527</f>
        <v>616</v>
      </c>
      <c r="P527" s="24">
        <v>545</v>
      </c>
      <c r="Q527" s="11">
        <f t="shared" ref="Q527:Q590" ca="1" si="115">J527*10</f>
        <v>100</v>
      </c>
      <c r="R527" s="24">
        <v>200</v>
      </c>
      <c r="S527" s="24">
        <v>10</v>
      </c>
      <c r="T527" s="24">
        <f t="shared" ref="T527:T590" ca="1" si="116">SUM(P527:S527)</f>
        <v>855</v>
      </c>
    </row>
    <row r="528" spans="1:20" x14ac:dyDescent="0.45">
      <c r="A528" s="11">
        <v>515</v>
      </c>
      <c r="B528" s="11">
        <f t="shared" ca="1" si="104"/>
        <v>0.95670326994013088</v>
      </c>
      <c r="C528" s="11">
        <f t="shared" ca="1" si="105"/>
        <v>1900</v>
      </c>
      <c r="D528" s="11">
        <f t="shared" ca="1" si="106"/>
        <v>0.15985278714490769</v>
      </c>
      <c r="E528" s="11">
        <f t="shared" ca="1" si="107"/>
        <v>1100</v>
      </c>
      <c r="F528" s="11">
        <f t="shared" ca="1" si="108"/>
        <v>0.89146191434686528</v>
      </c>
      <c r="G528" s="11">
        <f t="shared" ca="1" si="109"/>
        <v>1700</v>
      </c>
      <c r="H528" s="11">
        <f t="shared" ca="1" si="110"/>
        <v>1100</v>
      </c>
      <c r="I528" s="11">
        <f t="shared" ca="1" si="111"/>
        <v>5.03400248179946E-2</v>
      </c>
      <c r="J528" s="11">
        <f t="shared" ca="1" si="112"/>
        <v>5</v>
      </c>
      <c r="K528" s="24">
        <v>96</v>
      </c>
      <c r="L528" s="24">
        <f t="shared" ca="1" si="113"/>
        <v>50</v>
      </c>
      <c r="M528" s="24">
        <v>400</v>
      </c>
      <c r="N528" s="24">
        <v>20</v>
      </c>
      <c r="O528" s="24">
        <f t="shared" ca="1" si="114"/>
        <v>566</v>
      </c>
      <c r="P528" s="24">
        <v>546</v>
      </c>
      <c r="Q528" s="11">
        <f t="shared" ca="1" si="115"/>
        <v>50</v>
      </c>
      <c r="R528" s="24">
        <v>200</v>
      </c>
      <c r="S528" s="24">
        <v>10</v>
      </c>
      <c r="T528" s="24">
        <f t="shared" ca="1" si="116"/>
        <v>806</v>
      </c>
    </row>
    <row r="529" spans="1:20" x14ac:dyDescent="0.45">
      <c r="A529" s="11">
        <v>516</v>
      </c>
      <c r="B529" s="11">
        <f t="shared" ca="1" si="104"/>
        <v>8.0013305893843589E-2</v>
      </c>
      <c r="C529" s="11">
        <f t="shared" ca="1" si="105"/>
        <v>1000</v>
      </c>
      <c r="D529" s="11">
        <f t="shared" ca="1" si="106"/>
        <v>0.55652273799120366</v>
      </c>
      <c r="E529" s="11">
        <f t="shared" ca="1" si="107"/>
        <v>1300</v>
      </c>
      <c r="F529" s="11">
        <f t="shared" ca="1" si="108"/>
        <v>0.35865936591191028</v>
      </c>
      <c r="G529" s="11">
        <f t="shared" ca="1" si="109"/>
        <v>1200</v>
      </c>
      <c r="H529" s="11">
        <f t="shared" ca="1" si="110"/>
        <v>1000</v>
      </c>
      <c r="I529" s="11">
        <f t="shared" ca="1" si="111"/>
        <v>0.39089060138186427</v>
      </c>
      <c r="J529" s="11">
        <f t="shared" ca="1" si="112"/>
        <v>5</v>
      </c>
      <c r="K529" s="24">
        <v>96</v>
      </c>
      <c r="L529" s="24">
        <f t="shared" ca="1" si="113"/>
        <v>50</v>
      </c>
      <c r="M529" s="24">
        <v>400</v>
      </c>
      <c r="N529" s="24">
        <v>20</v>
      </c>
      <c r="O529" s="24">
        <f t="shared" ca="1" si="114"/>
        <v>566</v>
      </c>
      <c r="P529" s="24">
        <v>547</v>
      </c>
      <c r="Q529" s="11">
        <f t="shared" ca="1" si="115"/>
        <v>50</v>
      </c>
      <c r="R529" s="24">
        <v>200</v>
      </c>
      <c r="S529" s="24">
        <v>10</v>
      </c>
      <c r="T529" s="24">
        <f t="shared" ca="1" si="116"/>
        <v>807</v>
      </c>
    </row>
    <row r="530" spans="1:20" x14ac:dyDescent="0.45">
      <c r="A530" s="11">
        <v>517</v>
      </c>
      <c r="B530" s="11">
        <f t="shared" ca="1" si="104"/>
        <v>5.4034513544590212E-2</v>
      </c>
      <c r="C530" s="11">
        <f t="shared" ca="1" si="105"/>
        <v>1000</v>
      </c>
      <c r="D530" s="11">
        <f t="shared" ca="1" si="106"/>
        <v>0.46395785936209399</v>
      </c>
      <c r="E530" s="11">
        <f t="shared" ca="1" si="107"/>
        <v>1200</v>
      </c>
      <c r="F530" s="11">
        <f t="shared" ca="1" si="108"/>
        <v>0.21800103888438616</v>
      </c>
      <c r="G530" s="11">
        <f t="shared" ca="1" si="109"/>
        <v>1100</v>
      </c>
      <c r="H530" s="11">
        <f t="shared" ca="1" si="110"/>
        <v>1000</v>
      </c>
      <c r="I530" s="11">
        <f t="shared" ca="1" si="111"/>
        <v>0.97056784041904542</v>
      </c>
      <c r="J530" s="11">
        <f t="shared" ca="1" si="112"/>
        <v>15</v>
      </c>
      <c r="K530" s="24">
        <v>96</v>
      </c>
      <c r="L530" s="24">
        <f t="shared" ca="1" si="113"/>
        <v>150</v>
      </c>
      <c r="M530" s="24">
        <v>400</v>
      </c>
      <c r="N530" s="24">
        <v>20</v>
      </c>
      <c r="O530" s="24">
        <f t="shared" ca="1" si="114"/>
        <v>666</v>
      </c>
      <c r="P530" s="24">
        <v>548</v>
      </c>
      <c r="Q530" s="11">
        <f t="shared" ca="1" si="115"/>
        <v>150</v>
      </c>
      <c r="R530" s="24">
        <v>200</v>
      </c>
      <c r="S530" s="24">
        <v>10</v>
      </c>
      <c r="T530" s="24">
        <f t="shared" ca="1" si="116"/>
        <v>908</v>
      </c>
    </row>
    <row r="531" spans="1:20" x14ac:dyDescent="0.45">
      <c r="A531" s="11">
        <v>518</v>
      </c>
      <c r="B531" s="11">
        <f t="shared" ca="1" si="104"/>
        <v>0.67347780586911365</v>
      </c>
      <c r="C531" s="11">
        <f t="shared" ca="1" si="105"/>
        <v>1400</v>
      </c>
      <c r="D531" s="11">
        <f t="shared" ca="1" si="106"/>
        <v>0.18028751216930439</v>
      </c>
      <c r="E531" s="11">
        <f t="shared" ca="1" si="107"/>
        <v>1100</v>
      </c>
      <c r="F531" s="11">
        <f t="shared" ca="1" si="108"/>
        <v>0.31528694293955561</v>
      </c>
      <c r="G531" s="11">
        <f t="shared" ca="1" si="109"/>
        <v>1200</v>
      </c>
      <c r="H531" s="11">
        <f t="shared" ca="1" si="110"/>
        <v>1100</v>
      </c>
      <c r="I531" s="11">
        <f t="shared" ca="1" si="111"/>
        <v>0.96704807072996546</v>
      </c>
      <c r="J531" s="11">
        <f t="shared" ca="1" si="112"/>
        <v>15</v>
      </c>
      <c r="K531" s="24">
        <v>96</v>
      </c>
      <c r="L531" s="24">
        <f t="shared" ca="1" si="113"/>
        <v>150</v>
      </c>
      <c r="M531" s="24">
        <v>400</v>
      </c>
      <c r="N531" s="24">
        <v>20</v>
      </c>
      <c r="O531" s="24">
        <f t="shared" ca="1" si="114"/>
        <v>666</v>
      </c>
      <c r="P531" s="24">
        <v>549</v>
      </c>
      <c r="Q531" s="11">
        <f t="shared" ca="1" si="115"/>
        <v>150</v>
      </c>
      <c r="R531" s="24">
        <v>200</v>
      </c>
      <c r="S531" s="24">
        <v>10</v>
      </c>
      <c r="T531" s="24">
        <f t="shared" ca="1" si="116"/>
        <v>909</v>
      </c>
    </row>
    <row r="532" spans="1:20" x14ac:dyDescent="0.45">
      <c r="A532" s="11">
        <v>519</v>
      </c>
      <c r="B532" s="11">
        <f t="shared" ca="1" si="104"/>
        <v>0.94982809215118047</v>
      </c>
      <c r="C532" s="11">
        <f t="shared" ca="1" si="105"/>
        <v>1800</v>
      </c>
      <c r="D532" s="11">
        <f t="shared" ca="1" si="106"/>
        <v>2.8658607920265422E-2</v>
      </c>
      <c r="E532" s="11">
        <f t="shared" ca="1" si="107"/>
        <v>1000</v>
      </c>
      <c r="F532" s="11">
        <f t="shared" ca="1" si="108"/>
        <v>0.16184236895642956</v>
      </c>
      <c r="G532" s="11">
        <f t="shared" ca="1" si="109"/>
        <v>1100</v>
      </c>
      <c r="H532" s="11">
        <f t="shared" ca="1" si="110"/>
        <v>1000</v>
      </c>
      <c r="I532" s="11">
        <f t="shared" ca="1" si="111"/>
        <v>0.28434107901871697</v>
      </c>
      <c r="J532" s="11">
        <f t="shared" ca="1" si="112"/>
        <v>5</v>
      </c>
      <c r="K532" s="24">
        <v>96</v>
      </c>
      <c r="L532" s="24">
        <f t="shared" ca="1" si="113"/>
        <v>50</v>
      </c>
      <c r="M532" s="24">
        <v>400</v>
      </c>
      <c r="N532" s="24">
        <v>20</v>
      </c>
      <c r="O532" s="24">
        <f t="shared" ca="1" si="114"/>
        <v>566</v>
      </c>
      <c r="P532" s="24">
        <v>550</v>
      </c>
      <c r="Q532" s="11">
        <f t="shared" ca="1" si="115"/>
        <v>50</v>
      </c>
      <c r="R532" s="24">
        <v>200</v>
      </c>
      <c r="S532" s="24">
        <v>10</v>
      </c>
      <c r="T532" s="24">
        <f t="shared" ca="1" si="116"/>
        <v>810</v>
      </c>
    </row>
    <row r="533" spans="1:20" x14ac:dyDescent="0.45">
      <c r="A533" s="11">
        <v>520</v>
      </c>
      <c r="B533" s="11">
        <f t="shared" ca="1" si="104"/>
        <v>0.37818446550887319</v>
      </c>
      <c r="C533" s="11">
        <f t="shared" ca="1" si="105"/>
        <v>1200</v>
      </c>
      <c r="D533" s="11">
        <f t="shared" ca="1" si="106"/>
        <v>0.43012732900744444</v>
      </c>
      <c r="E533" s="11">
        <f t="shared" ca="1" si="107"/>
        <v>1200</v>
      </c>
      <c r="F533" s="11">
        <f t="shared" ca="1" si="108"/>
        <v>0.33270201414904388</v>
      </c>
      <c r="G533" s="11">
        <f t="shared" ca="1" si="109"/>
        <v>1200</v>
      </c>
      <c r="H533" s="11">
        <f t="shared" ca="1" si="110"/>
        <v>1200</v>
      </c>
      <c r="I533" s="11">
        <f t="shared" ca="1" si="111"/>
        <v>0.31221540383410595</v>
      </c>
      <c r="J533" s="11">
        <f t="shared" ca="1" si="112"/>
        <v>5</v>
      </c>
      <c r="K533" s="24">
        <v>96</v>
      </c>
      <c r="L533" s="24">
        <f t="shared" ca="1" si="113"/>
        <v>50</v>
      </c>
      <c r="M533" s="24">
        <v>400</v>
      </c>
      <c r="N533" s="24">
        <v>20</v>
      </c>
      <c r="O533" s="24">
        <f t="shared" ca="1" si="114"/>
        <v>566</v>
      </c>
      <c r="P533" s="24">
        <v>551</v>
      </c>
      <c r="Q533" s="11">
        <f t="shared" ca="1" si="115"/>
        <v>50</v>
      </c>
      <c r="R533" s="24">
        <v>200</v>
      </c>
      <c r="S533" s="24">
        <v>10</v>
      </c>
      <c r="T533" s="24">
        <f t="shared" ca="1" si="116"/>
        <v>811</v>
      </c>
    </row>
    <row r="534" spans="1:20" x14ac:dyDescent="0.45">
      <c r="A534" s="11">
        <v>521</v>
      </c>
      <c r="B534" s="11">
        <f t="shared" ca="1" si="104"/>
        <v>0.20327710361424078</v>
      </c>
      <c r="C534" s="11">
        <f t="shared" ca="1" si="105"/>
        <v>1100</v>
      </c>
      <c r="D534" s="11">
        <f t="shared" ca="1" si="106"/>
        <v>0.35952174465147368</v>
      </c>
      <c r="E534" s="11">
        <f t="shared" ca="1" si="107"/>
        <v>1200</v>
      </c>
      <c r="F534" s="11">
        <f t="shared" ca="1" si="108"/>
        <v>0.89499170302757391</v>
      </c>
      <c r="G534" s="11">
        <f t="shared" ca="1" si="109"/>
        <v>1700</v>
      </c>
      <c r="H534" s="11">
        <f t="shared" ca="1" si="110"/>
        <v>1100</v>
      </c>
      <c r="I534" s="11">
        <f t="shared" ca="1" si="111"/>
        <v>0.21300464125952201</v>
      </c>
      <c r="J534" s="11">
        <f t="shared" ca="1" si="112"/>
        <v>5</v>
      </c>
      <c r="K534" s="24">
        <v>96</v>
      </c>
      <c r="L534" s="24">
        <f t="shared" ca="1" si="113"/>
        <v>50</v>
      </c>
      <c r="M534" s="24">
        <v>400</v>
      </c>
      <c r="N534" s="24">
        <v>20</v>
      </c>
      <c r="O534" s="24">
        <f t="shared" ca="1" si="114"/>
        <v>566</v>
      </c>
      <c r="P534" s="24">
        <v>552</v>
      </c>
      <c r="Q534" s="11">
        <f t="shared" ca="1" si="115"/>
        <v>50</v>
      </c>
      <c r="R534" s="24">
        <v>200</v>
      </c>
      <c r="S534" s="24">
        <v>10</v>
      </c>
      <c r="T534" s="24">
        <f t="shared" ca="1" si="116"/>
        <v>812</v>
      </c>
    </row>
    <row r="535" spans="1:20" x14ac:dyDescent="0.45">
      <c r="A535" s="11">
        <v>522</v>
      </c>
      <c r="B535" s="11">
        <f t="shared" ca="1" si="104"/>
        <v>0.38847097982115975</v>
      </c>
      <c r="C535" s="11">
        <f t="shared" ca="1" si="105"/>
        <v>1200</v>
      </c>
      <c r="D535" s="11">
        <f t="shared" ca="1" si="106"/>
        <v>0.51805049585126228</v>
      </c>
      <c r="E535" s="11">
        <f t="shared" ca="1" si="107"/>
        <v>1300</v>
      </c>
      <c r="F535" s="11">
        <f t="shared" ca="1" si="108"/>
        <v>0.79427076755540893</v>
      </c>
      <c r="G535" s="11">
        <f t="shared" ca="1" si="109"/>
        <v>1500</v>
      </c>
      <c r="H535" s="11">
        <f t="shared" ca="1" si="110"/>
        <v>1200</v>
      </c>
      <c r="I535" s="11">
        <f t="shared" ca="1" si="111"/>
        <v>0.68941293172941109</v>
      </c>
      <c r="J535" s="11">
        <f t="shared" ca="1" si="112"/>
        <v>10</v>
      </c>
      <c r="K535" s="24">
        <v>96</v>
      </c>
      <c r="L535" s="24">
        <f t="shared" ca="1" si="113"/>
        <v>100</v>
      </c>
      <c r="M535" s="24">
        <v>400</v>
      </c>
      <c r="N535" s="24">
        <v>20</v>
      </c>
      <c r="O535" s="24">
        <f t="shared" ca="1" si="114"/>
        <v>616</v>
      </c>
      <c r="P535" s="24">
        <v>553</v>
      </c>
      <c r="Q535" s="11">
        <f t="shared" ca="1" si="115"/>
        <v>100</v>
      </c>
      <c r="R535" s="24">
        <v>200</v>
      </c>
      <c r="S535" s="24">
        <v>10</v>
      </c>
      <c r="T535" s="24">
        <f t="shared" ca="1" si="116"/>
        <v>863</v>
      </c>
    </row>
    <row r="536" spans="1:20" x14ac:dyDescent="0.45">
      <c r="A536" s="11">
        <v>523</v>
      </c>
      <c r="B536" s="11">
        <f t="shared" ca="1" si="104"/>
        <v>0.29110493944718685</v>
      </c>
      <c r="C536" s="11">
        <f t="shared" ca="1" si="105"/>
        <v>1200</v>
      </c>
      <c r="D536" s="11">
        <f t="shared" ca="1" si="106"/>
        <v>0.36899619447694954</v>
      </c>
      <c r="E536" s="11">
        <f t="shared" ca="1" si="107"/>
        <v>1200</v>
      </c>
      <c r="F536" s="11">
        <f t="shared" ca="1" si="108"/>
        <v>0.25365947764381269</v>
      </c>
      <c r="G536" s="11">
        <f t="shared" ca="1" si="109"/>
        <v>1200</v>
      </c>
      <c r="H536" s="11">
        <f t="shared" ca="1" si="110"/>
        <v>1200</v>
      </c>
      <c r="I536" s="11">
        <f t="shared" ca="1" si="111"/>
        <v>0.13513747935577436</v>
      </c>
      <c r="J536" s="11">
        <f t="shared" ca="1" si="112"/>
        <v>5</v>
      </c>
      <c r="K536" s="24">
        <v>96</v>
      </c>
      <c r="L536" s="24">
        <f t="shared" ca="1" si="113"/>
        <v>50</v>
      </c>
      <c r="M536" s="24">
        <v>400</v>
      </c>
      <c r="N536" s="24">
        <v>20</v>
      </c>
      <c r="O536" s="24">
        <f t="shared" ca="1" si="114"/>
        <v>566</v>
      </c>
      <c r="P536" s="24">
        <v>554</v>
      </c>
      <c r="Q536" s="11">
        <f t="shared" ca="1" si="115"/>
        <v>50</v>
      </c>
      <c r="R536" s="24">
        <v>200</v>
      </c>
      <c r="S536" s="24">
        <v>10</v>
      </c>
      <c r="T536" s="24">
        <f t="shared" ca="1" si="116"/>
        <v>814</v>
      </c>
    </row>
    <row r="537" spans="1:20" x14ac:dyDescent="0.45">
      <c r="A537" s="11">
        <v>524</v>
      </c>
      <c r="B537" s="11">
        <f t="shared" ca="1" si="104"/>
        <v>0.3586025269101093</v>
      </c>
      <c r="C537" s="11">
        <f t="shared" ca="1" si="105"/>
        <v>1200</v>
      </c>
      <c r="D537" s="11">
        <f t="shared" ca="1" si="106"/>
        <v>4.6566512421457928E-2</v>
      </c>
      <c r="E537" s="11">
        <f t="shared" ca="1" si="107"/>
        <v>1000</v>
      </c>
      <c r="F537" s="11">
        <f t="shared" ca="1" si="108"/>
        <v>0.5717699239288071</v>
      </c>
      <c r="G537" s="11">
        <f t="shared" ca="1" si="109"/>
        <v>1300</v>
      </c>
      <c r="H537" s="11">
        <f t="shared" ca="1" si="110"/>
        <v>1000</v>
      </c>
      <c r="I537" s="11">
        <f t="shared" ca="1" si="111"/>
        <v>0.18117651731637729</v>
      </c>
      <c r="J537" s="11">
        <f t="shared" ca="1" si="112"/>
        <v>5</v>
      </c>
      <c r="K537" s="24">
        <v>96</v>
      </c>
      <c r="L537" s="24">
        <f t="shared" ca="1" si="113"/>
        <v>50</v>
      </c>
      <c r="M537" s="24">
        <v>400</v>
      </c>
      <c r="N537" s="24">
        <v>20</v>
      </c>
      <c r="O537" s="24">
        <f t="shared" ca="1" si="114"/>
        <v>566</v>
      </c>
      <c r="P537" s="24">
        <v>555</v>
      </c>
      <c r="Q537" s="11">
        <f t="shared" ca="1" si="115"/>
        <v>50</v>
      </c>
      <c r="R537" s="24">
        <v>200</v>
      </c>
      <c r="S537" s="24">
        <v>10</v>
      </c>
      <c r="T537" s="24">
        <f t="shared" ca="1" si="116"/>
        <v>815</v>
      </c>
    </row>
    <row r="538" spans="1:20" x14ac:dyDescent="0.45">
      <c r="A538" s="11">
        <v>525</v>
      </c>
      <c r="B538" s="11">
        <f t="shared" ca="1" si="104"/>
        <v>0.56826701854054606</v>
      </c>
      <c r="C538" s="11">
        <f t="shared" ca="1" si="105"/>
        <v>1300</v>
      </c>
      <c r="D538" s="11">
        <f t="shared" ca="1" si="106"/>
        <v>0.22743434024479436</v>
      </c>
      <c r="E538" s="11">
        <f t="shared" ca="1" si="107"/>
        <v>1100</v>
      </c>
      <c r="F538" s="11">
        <f t="shared" ca="1" si="108"/>
        <v>0.57085955205400485</v>
      </c>
      <c r="G538" s="11">
        <f t="shared" ca="1" si="109"/>
        <v>1300</v>
      </c>
      <c r="H538" s="11">
        <f t="shared" ca="1" si="110"/>
        <v>1100</v>
      </c>
      <c r="I538" s="11">
        <f t="shared" ca="1" si="111"/>
        <v>0.9544138124168301</v>
      </c>
      <c r="J538" s="11">
        <f t="shared" ca="1" si="112"/>
        <v>15</v>
      </c>
      <c r="K538" s="24">
        <v>96</v>
      </c>
      <c r="L538" s="24">
        <f t="shared" ca="1" si="113"/>
        <v>150</v>
      </c>
      <c r="M538" s="24">
        <v>400</v>
      </c>
      <c r="N538" s="24">
        <v>20</v>
      </c>
      <c r="O538" s="24">
        <f t="shared" ca="1" si="114"/>
        <v>666</v>
      </c>
      <c r="P538" s="24">
        <v>556</v>
      </c>
      <c r="Q538" s="11">
        <f t="shared" ca="1" si="115"/>
        <v>150</v>
      </c>
      <c r="R538" s="24">
        <v>200</v>
      </c>
      <c r="S538" s="24">
        <v>10</v>
      </c>
      <c r="T538" s="24">
        <f t="shared" ca="1" si="116"/>
        <v>916</v>
      </c>
    </row>
    <row r="539" spans="1:20" x14ac:dyDescent="0.45">
      <c r="A539" s="11">
        <v>526</v>
      </c>
      <c r="B539" s="11">
        <f t="shared" ca="1" si="104"/>
        <v>0.65660366569698758</v>
      </c>
      <c r="C539" s="11">
        <f t="shared" ca="1" si="105"/>
        <v>1400</v>
      </c>
      <c r="D539" s="11">
        <f t="shared" ca="1" si="106"/>
        <v>0.265797809627352</v>
      </c>
      <c r="E539" s="11">
        <f t="shared" ca="1" si="107"/>
        <v>1200</v>
      </c>
      <c r="F539" s="11">
        <f t="shared" ca="1" si="108"/>
        <v>0.91910881336533679</v>
      </c>
      <c r="G539" s="11">
        <f t="shared" ca="1" si="109"/>
        <v>1800</v>
      </c>
      <c r="H539" s="11">
        <f t="shared" ca="1" si="110"/>
        <v>1200</v>
      </c>
      <c r="I539" s="11">
        <f t="shared" ca="1" si="111"/>
        <v>0.13359835315270063</v>
      </c>
      <c r="J539" s="11">
        <f t="shared" ca="1" si="112"/>
        <v>5</v>
      </c>
      <c r="K539" s="24">
        <v>96</v>
      </c>
      <c r="L539" s="24">
        <f t="shared" ca="1" si="113"/>
        <v>50</v>
      </c>
      <c r="M539" s="24">
        <v>400</v>
      </c>
      <c r="N539" s="24">
        <v>20</v>
      </c>
      <c r="O539" s="24">
        <f t="shared" ca="1" si="114"/>
        <v>566</v>
      </c>
      <c r="P539" s="24">
        <v>557</v>
      </c>
      <c r="Q539" s="11">
        <f t="shared" ca="1" si="115"/>
        <v>50</v>
      </c>
      <c r="R539" s="24">
        <v>200</v>
      </c>
      <c r="S539" s="24">
        <v>10</v>
      </c>
      <c r="T539" s="24">
        <f t="shared" ca="1" si="116"/>
        <v>817</v>
      </c>
    </row>
    <row r="540" spans="1:20" x14ac:dyDescent="0.45">
      <c r="A540" s="11">
        <v>527</v>
      </c>
      <c r="B540" s="11">
        <f t="shared" ca="1" si="104"/>
        <v>2.2198463175101546E-3</v>
      </c>
      <c r="C540" s="11">
        <f t="shared" ca="1" si="105"/>
        <v>1000</v>
      </c>
      <c r="D540" s="11">
        <f t="shared" ca="1" si="106"/>
        <v>0.326185389973774</v>
      </c>
      <c r="E540" s="11">
        <f t="shared" ca="1" si="107"/>
        <v>1200</v>
      </c>
      <c r="F540" s="11">
        <f t="shared" ca="1" si="108"/>
        <v>0.76302412321249169</v>
      </c>
      <c r="G540" s="11">
        <f t="shared" ca="1" si="109"/>
        <v>1500</v>
      </c>
      <c r="H540" s="11">
        <f t="shared" ca="1" si="110"/>
        <v>1000</v>
      </c>
      <c r="I540" s="11">
        <f t="shared" ca="1" si="111"/>
        <v>0.71270531451033114</v>
      </c>
      <c r="J540" s="11">
        <f t="shared" ca="1" si="112"/>
        <v>10</v>
      </c>
      <c r="K540" s="24">
        <v>96</v>
      </c>
      <c r="L540" s="24">
        <f t="shared" ca="1" si="113"/>
        <v>100</v>
      </c>
      <c r="M540" s="24">
        <v>400</v>
      </c>
      <c r="N540" s="24">
        <v>20</v>
      </c>
      <c r="O540" s="24">
        <f t="shared" ca="1" si="114"/>
        <v>616</v>
      </c>
      <c r="P540" s="24">
        <v>558</v>
      </c>
      <c r="Q540" s="11">
        <f t="shared" ca="1" si="115"/>
        <v>100</v>
      </c>
      <c r="R540" s="24">
        <v>200</v>
      </c>
      <c r="S540" s="24">
        <v>10</v>
      </c>
      <c r="T540" s="24">
        <f t="shared" ca="1" si="116"/>
        <v>868</v>
      </c>
    </row>
    <row r="541" spans="1:20" x14ac:dyDescent="0.45">
      <c r="A541" s="11">
        <v>528</v>
      </c>
      <c r="B541" s="11">
        <f t="shared" ca="1" si="104"/>
        <v>0.65700499249502886</v>
      </c>
      <c r="C541" s="11">
        <f t="shared" ca="1" si="105"/>
        <v>1400</v>
      </c>
      <c r="D541" s="11">
        <f t="shared" ca="1" si="106"/>
        <v>0.24111080055419121</v>
      </c>
      <c r="E541" s="11">
        <f t="shared" ca="1" si="107"/>
        <v>1200</v>
      </c>
      <c r="F541" s="11">
        <f t="shared" ca="1" si="108"/>
        <v>9.2266755416281376E-2</v>
      </c>
      <c r="G541" s="11">
        <f t="shared" ca="1" si="109"/>
        <v>1000</v>
      </c>
      <c r="H541" s="11">
        <f t="shared" ca="1" si="110"/>
        <v>1000</v>
      </c>
      <c r="I541" s="11">
        <f t="shared" ca="1" si="111"/>
        <v>0.69973334905108864</v>
      </c>
      <c r="J541" s="11">
        <f t="shared" ca="1" si="112"/>
        <v>10</v>
      </c>
      <c r="K541" s="24">
        <v>96</v>
      </c>
      <c r="L541" s="24">
        <f t="shared" ca="1" si="113"/>
        <v>100</v>
      </c>
      <c r="M541" s="24">
        <v>400</v>
      </c>
      <c r="N541" s="24">
        <v>20</v>
      </c>
      <c r="O541" s="24">
        <f t="shared" ca="1" si="114"/>
        <v>616</v>
      </c>
      <c r="P541" s="24">
        <v>559</v>
      </c>
      <c r="Q541" s="11">
        <f t="shared" ca="1" si="115"/>
        <v>100</v>
      </c>
      <c r="R541" s="24">
        <v>200</v>
      </c>
      <c r="S541" s="24">
        <v>10</v>
      </c>
      <c r="T541" s="24">
        <f t="shared" ca="1" si="116"/>
        <v>869</v>
      </c>
    </row>
    <row r="542" spans="1:20" x14ac:dyDescent="0.45">
      <c r="A542" s="11">
        <v>529</v>
      </c>
      <c r="B542" s="11">
        <f t="shared" ca="1" si="104"/>
        <v>8.0931982328047991E-2</v>
      </c>
      <c r="C542" s="11">
        <f t="shared" ca="1" si="105"/>
        <v>1000</v>
      </c>
      <c r="D542" s="11">
        <f t="shared" ca="1" si="106"/>
        <v>0.50112452796524709</v>
      </c>
      <c r="E542" s="11">
        <f t="shared" ca="1" si="107"/>
        <v>1300</v>
      </c>
      <c r="F542" s="11">
        <f t="shared" ca="1" si="108"/>
        <v>0.93894692984073858</v>
      </c>
      <c r="G542" s="11">
        <f t="shared" ca="1" si="109"/>
        <v>1800</v>
      </c>
      <c r="H542" s="11">
        <f t="shared" ca="1" si="110"/>
        <v>1000</v>
      </c>
      <c r="I542" s="11">
        <f t="shared" ca="1" si="111"/>
        <v>0.59349024457017252</v>
      </c>
      <c r="J542" s="11">
        <f t="shared" ca="1" si="112"/>
        <v>5</v>
      </c>
      <c r="K542" s="24">
        <v>96</v>
      </c>
      <c r="L542" s="24">
        <f t="shared" ca="1" si="113"/>
        <v>50</v>
      </c>
      <c r="M542" s="24">
        <v>400</v>
      </c>
      <c r="N542" s="24">
        <v>20</v>
      </c>
      <c r="O542" s="24">
        <f t="shared" ca="1" si="114"/>
        <v>566</v>
      </c>
      <c r="P542" s="24">
        <v>560</v>
      </c>
      <c r="Q542" s="11">
        <f t="shared" ca="1" si="115"/>
        <v>50</v>
      </c>
      <c r="R542" s="24">
        <v>200</v>
      </c>
      <c r="S542" s="24">
        <v>10</v>
      </c>
      <c r="T542" s="24">
        <f t="shared" ca="1" si="116"/>
        <v>820</v>
      </c>
    </row>
    <row r="543" spans="1:20" x14ac:dyDescent="0.45">
      <c r="A543" s="11">
        <v>530</v>
      </c>
      <c r="B543" s="11">
        <f t="shared" ca="1" si="104"/>
        <v>0.71698575656131203</v>
      </c>
      <c r="C543" s="11">
        <f t="shared" ca="1" si="105"/>
        <v>1500</v>
      </c>
      <c r="D543" s="11">
        <f t="shared" ca="1" si="106"/>
        <v>0.50768958009490561</v>
      </c>
      <c r="E543" s="11">
        <f t="shared" ca="1" si="107"/>
        <v>1300</v>
      </c>
      <c r="F543" s="11">
        <f t="shared" ca="1" si="108"/>
        <v>8.9980707243212832E-2</v>
      </c>
      <c r="G543" s="11">
        <f t="shared" ca="1" si="109"/>
        <v>1000</v>
      </c>
      <c r="H543" s="11">
        <f t="shared" ca="1" si="110"/>
        <v>1000</v>
      </c>
      <c r="I543" s="11">
        <f t="shared" ca="1" si="111"/>
        <v>0.88378001590311639</v>
      </c>
      <c r="J543" s="11">
        <f t="shared" ca="1" si="112"/>
        <v>10</v>
      </c>
      <c r="K543" s="24">
        <v>96</v>
      </c>
      <c r="L543" s="24">
        <f t="shared" ca="1" si="113"/>
        <v>100</v>
      </c>
      <c r="M543" s="24">
        <v>400</v>
      </c>
      <c r="N543" s="24">
        <v>20</v>
      </c>
      <c r="O543" s="24">
        <f t="shared" ca="1" si="114"/>
        <v>616</v>
      </c>
      <c r="P543" s="24">
        <v>561</v>
      </c>
      <c r="Q543" s="11">
        <f t="shared" ca="1" si="115"/>
        <v>100</v>
      </c>
      <c r="R543" s="24">
        <v>200</v>
      </c>
      <c r="S543" s="24">
        <v>10</v>
      </c>
      <c r="T543" s="24">
        <f t="shared" ca="1" si="116"/>
        <v>871</v>
      </c>
    </row>
    <row r="544" spans="1:20" x14ac:dyDescent="0.45">
      <c r="A544" s="11">
        <v>531</v>
      </c>
      <c r="B544" s="11">
        <f t="shared" ca="1" si="104"/>
        <v>0.7076607129866076</v>
      </c>
      <c r="C544" s="11">
        <f t="shared" ca="1" si="105"/>
        <v>1500</v>
      </c>
      <c r="D544" s="11">
        <f t="shared" ca="1" si="106"/>
        <v>0.56529877696884756</v>
      </c>
      <c r="E544" s="11">
        <f t="shared" ca="1" si="107"/>
        <v>1300</v>
      </c>
      <c r="F544" s="11">
        <f t="shared" ca="1" si="108"/>
        <v>0.86460023910022366</v>
      </c>
      <c r="G544" s="11">
        <f t="shared" ca="1" si="109"/>
        <v>1700</v>
      </c>
      <c r="H544" s="11">
        <f t="shared" ca="1" si="110"/>
        <v>1300</v>
      </c>
      <c r="I544" s="11">
        <f t="shared" ca="1" si="111"/>
        <v>0.13506967722142749</v>
      </c>
      <c r="J544" s="11">
        <f t="shared" ca="1" si="112"/>
        <v>5</v>
      </c>
      <c r="K544" s="24">
        <v>96</v>
      </c>
      <c r="L544" s="24">
        <f t="shared" ca="1" si="113"/>
        <v>50</v>
      </c>
      <c r="M544" s="24">
        <v>400</v>
      </c>
      <c r="N544" s="24">
        <v>20</v>
      </c>
      <c r="O544" s="24">
        <f t="shared" ca="1" si="114"/>
        <v>566</v>
      </c>
      <c r="P544" s="24">
        <v>562</v>
      </c>
      <c r="Q544" s="11">
        <f t="shared" ca="1" si="115"/>
        <v>50</v>
      </c>
      <c r="R544" s="24">
        <v>200</v>
      </c>
      <c r="S544" s="24">
        <v>10</v>
      </c>
      <c r="T544" s="24">
        <f t="shared" ca="1" si="116"/>
        <v>822</v>
      </c>
    </row>
    <row r="545" spans="1:20" x14ac:dyDescent="0.45">
      <c r="A545" s="11">
        <v>532</v>
      </c>
      <c r="B545" s="11">
        <f t="shared" ca="1" si="104"/>
        <v>0.35445623453675701</v>
      </c>
      <c r="C545" s="11">
        <f t="shared" ca="1" si="105"/>
        <v>1200</v>
      </c>
      <c r="D545" s="11">
        <f t="shared" ca="1" si="106"/>
        <v>0.5159155416871618</v>
      </c>
      <c r="E545" s="11">
        <f t="shared" ca="1" si="107"/>
        <v>1300</v>
      </c>
      <c r="F545" s="11">
        <f t="shared" ca="1" si="108"/>
        <v>0.48120883568143058</v>
      </c>
      <c r="G545" s="11">
        <f t="shared" ca="1" si="109"/>
        <v>1300</v>
      </c>
      <c r="H545" s="11">
        <f t="shared" ca="1" si="110"/>
        <v>1200</v>
      </c>
      <c r="I545" s="11">
        <f t="shared" ca="1" si="111"/>
        <v>0.78678472747940276</v>
      </c>
      <c r="J545" s="11">
        <f t="shared" ca="1" si="112"/>
        <v>10</v>
      </c>
      <c r="K545" s="24">
        <v>96</v>
      </c>
      <c r="L545" s="24">
        <f t="shared" ca="1" si="113"/>
        <v>100</v>
      </c>
      <c r="M545" s="24">
        <v>400</v>
      </c>
      <c r="N545" s="24">
        <v>20</v>
      </c>
      <c r="O545" s="24">
        <f t="shared" ca="1" si="114"/>
        <v>616</v>
      </c>
      <c r="P545" s="24">
        <v>563</v>
      </c>
      <c r="Q545" s="11">
        <f t="shared" ca="1" si="115"/>
        <v>100</v>
      </c>
      <c r="R545" s="24">
        <v>200</v>
      </c>
      <c r="S545" s="24">
        <v>10</v>
      </c>
      <c r="T545" s="24">
        <f t="shared" ca="1" si="116"/>
        <v>873</v>
      </c>
    </row>
    <row r="546" spans="1:20" x14ac:dyDescent="0.45">
      <c r="A546" s="11">
        <v>533</v>
      </c>
      <c r="B546" s="11">
        <f t="shared" ca="1" si="104"/>
        <v>0.40878529491704607</v>
      </c>
      <c r="C546" s="11">
        <f t="shared" ca="1" si="105"/>
        <v>1200</v>
      </c>
      <c r="D546" s="11">
        <f t="shared" ca="1" si="106"/>
        <v>0.42044993181758405</v>
      </c>
      <c r="E546" s="11">
        <f t="shared" ca="1" si="107"/>
        <v>1200</v>
      </c>
      <c r="F546" s="11">
        <f t="shared" ca="1" si="108"/>
        <v>0.80302862722977209</v>
      </c>
      <c r="G546" s="11">
        <f t="shared" ca="1" si="109"/>
        <v>1500</v>
      </c>
      <c r="H546" s="11">
        <f t="shared" ca="1" si="110"/>
        <v>1200</v>
      </c>
      <c r="I546" s="11">
        <f t="shared" ca="1" si="111"/>
        <v>0.3971146397763331</v>
      </c>
      <c r="J546" s="11">
        <f t="shared" ca="1" si="112"/>
        <v>5</v>
      </c>
      <c r="K546" s="24">
        <v>96</v>
      </c>
      <c r="L546" s="24">
        <f t="shared" ca="1" si="113"/>
        <v>50</v>
      </c>
      <c r="M546" s="24">
        <v>400</v>
      </c>
      <c r="N546" s="24">
        <v>20</v>
      </c>
      <c r="O546" s="24">
        <f t="shared" ca="1" si="114"/>
        <v>566</v>
      </c>
      <c r="P546" s="24">
        <v>564</v>
      </c>
      <c r="Q546" s="11">
        <f t="shared" ca="1" si="115"/>
        <v>50</v>
      </c>
      <c r="R546" s="24">
        <v>200</v>
      </c>
      <c r="S546" s="24">
        <v>10</v>
      </c>
      <c r="T546" s="24">
        <f t="shared" ca="1" si="116"/>
        <v>824</v>
      </c>
    </row>
    <row r="547" spans="1:20" x14ac:dyDescent="0.45">
      <c r="A547" s="11">
        <v>534</v>
      </c>
      <c r="B547" s="11">
        <f t="shared" ca="1" si="104"/>
        <v>0.70950601170535355</v>
      </c>
      <c r="C547" s="11">
        <f t="shared" ca="1" si="105"/>
        <v>1500</v>
      </c>
      <c r="D547" s="11">
        <f t="shared" ca="1" si="106"/>
        <v>0.41859755067141724</v>
      </c>
      <c r="E547" s="11">
        <f t="shared" ca="1" si="107"/>
        <v>1200</v>
      </c>
      <c r="F547" s="11">
        <f t="shared" ca="1" si="108"/>
        <v>0.77908199455231886</v>
      </c>
      <c r="G547" s="11">
        <f t="shared" ca="1" si="109"/>
        <v>1500</v>
      </c>
      <c r="H547" s="11">
        <f t="shared" ca="1" si="110"/>
        <v>1200</v>
      </c>
      <c r="I547" s="11">
        <f t="shared" ca="1" si="111"/>
        <v>0.87120717042641094</v>
      </c>
      <c r="J547" s="11">
        <f t="shared" ca="1" si="112"/>
        <v>10</v>
      </c>
      <c r="K547" s="24">
        <v>96</v>
      </c>
      <c r="L547" s="24">
        <f t="shared" ca="1" si="113"/>
        <v>100</v>
      </c>
      <c r="M547" s="24">
        <v>400</v>
      </c>
      <c r="N547" s="24">
        <v>20</v>
      </c>
      <c r="O547" s="24">
        <f t="shared" ca="1" si="114"/>
        <v>616</v>
      </c>
      <c r="P547" s="24">
        <v>565</v>
      </c>
      <c r="Q547" s="11">
        <f t="shared" ca="1" si="115"/>
        <v>100</v>
      </c>
      <c r="R547" s="24">
        <v>200</v>
      </c>
      <c r="S547" s="24">
        <v>10</v>
      </c>
      <c r="T547" s="24">
        <f t="shared" ca="1" si="116"/>
        <v>875</v>
      </c>
    </row>
    <row r="548" spans="1:20" x14ac:dyDescent="0.45">
      <c r="A548" s="11">
        <v>535</v>
      </c>
      <c r="B548" s="11">
        <f t="shared" ca="1" si="104"/>
        <v>3.5987062597432451E-2</v>
      </c>
      <c r="C548" s="11">
        <f t="shared" ca="1" si="105"/>
        <v>1000</v>
      </c>
      <c r="D548" s="11">
        <f t="shared" ca="1" si="106"/>
        <v>0.99781510676029439</v>
      </c>
      <c r="E548" s="11">
        <f t="shared" ca="1" si="107"/>
        <v>1900</v>
      </c>
      <c r="F548" s="11">
        <f t="shared" ca="1" si="108"/>
        <v>0.90787898924477928</v>
      </c>
      <c r="G548" s="11">
        <f t="shared" ca="1" si="109"/>
        <v>1800</v>
      </c>
      <c r="H548" s="11">
        <f t="shared" ca="1" si="110"/>
        <v>1000</v>
      </c>
      <c r="I548" s="11">
        <f t="shared" ca="1" si="111"/>
        <v>0.36664467043092563</v>
      </c>
      <c r="J548" s="11">
        <f t="shared" ca="1" si="112"/>
        <v>5</v>
      </c>
      <c r="K548" s="24">
        <v>96</v>
      </c>
      <c r="L548" s="24">
        <f t="shared" ca="1" si="113"/>
        <v>50</v>
      </c>
      <c r="M548" s="24">
        <v>400</v>
      </c>
      <c r="N548" s="24">
        <v>20</v>
      </c>
      <c r="O548" s="24">
        <f t="shared" ca="1" si="114"/>
        <v>566</v>
      </c>
      <c r="P548" s="24">
        <v>566</v>
      </c>
      <c r="Q548" s="11">
        <f t="shared" ca="1" si="115"/>
        <v>50</v>
      </c>
      <c r="R548" s="24">
        <v>200</v>
      </c>
      <c r="S548" s="24">
        <v>10</v>
      </c>
      <c r="T548" s="24">
        <f t="shared" ca="1" si="116"/>
        <v>826</v>
      </c>
    </row>
    <row r="549" spans="1:20" x14ac:dyDescent="0.45">
      <c r="A549" s="11">
        <v>536</v>
      </c>
      <c r="B549" s="11">
        <f t="shared" ca="1" si="104"/>
        <v>0.49794745008120045</v>
      </c>
      <c r="C549" s="11">
        <f t="shared" ca="1" si="105"/>
        <v>1300</v>
      </c>
      <c r="D549" s="11">
        <f t="shared" ca="1" si="106"/>
        <v>0.48716205210128305</v>
      </c>
      <c r="E549" s="11">
        <f t="shared" ca="1" si="107"/>
        <v>1300</v>
      </c>
      <c r="F549" s="11">
        <f t="shared" ca="1" si="108"/>
        <v>0.69196671120841602</v>
      </c>
      <c r="G549" s="11">
        <f t="shared" ca="1" si="109"/>
        <v>1400</v>
      </c>
      <c r="H549" s="11">
        <f t="shared" ca="1" si="110"/>
        <v>1300</v>
      </c>
      <c r="I549" s="11">
        <f t="shared" ca="1" si="111"/>
        <v>0.54522157847404418</v>
      </c>
      <c r="J549" s="11">
        <f t="shared" ca="1" si="112"/>
        <v>5</v>
      </c>
      <c r="K549" s="24">
        <v>96</v>
      </c>
      <c r="L549" s="24">
        <f t="shared" ca="1" si="113"/>
        <v>50</v>
      </c>
      <c r="M549" s="24">
        <v>400</v>
      </c>
      <c r="N549" s="24">
        <v>20</v>
      </c>
      <c r="O549" s="24">
        <f t="shared" ca="1" si="114"/>
        <v>566</v>
      </c>
      <c r="P549" s="24">
        <v>567</v>
      </c>
      <c r="Q549" s="11">
        <f t="shared" ca="1" si="115"/>
        <v>50</v>
      </c>
      <c r="R549" s="24">
        <v>200</v>
      </c>
      <c r="S549" s="24">
        <v>10</v>
      </c>
      <c r="T549" s="24">
        <f t="shared" ca="1" si="116"/>
        <v>827</v>
      </c>
    </row>
    <row r="550" spans="1:20" x14ac:dyDescent="0.45">
      <c r="A550" s="11">
        <v>537</v>
      </c>
      <c r="B550" s="11">
        <f t="shared" ca="1" si="104"/>
        <v>0.64479199812661803</v>
      </c>
      <c r="C550" s="11">
        <f t="shared" ca="1" si="105"/>
        <v>1400</v>
      </c>
      <c r="D550" s="11">
        <f t="shared" ca="1" si="106"/>
        <v>0.56634308024926139</v>
      </c>
      <c r="E550" s="11">
        <f t="shared" ca="1" si="107"/>
        <v>1300</v>
      </c>
      <c r="F550" s="11">
        <f t="shared" ca="1" si="108"/>
        <v>0.67806967213106162</v>
      </c>
      <c r="G550" s="11">
        <f t="shared" ca="1" si="109"/>
        <v>1400</v>
      </c>
      <c r="H550" s="11">
        <f t="shared" ca="1" si="110"/>
        <v>1300</v>
      </c>
      <c r="I550" s="11">
        <f t="shared" ca="1" si="111"/>
        <v>0.39315408134871677</v>
      </c>
      <c r="J550" s="11">
        <f t="shared" ca="1" si="112"/>
        <v>5</v>
      </c>
      <c r="K550" s="24">
        <v>96</v>
      </c>
      <c r="L550" s="24">
        <f t="shared" ca="1" si="113"/>
        <v>50</v>
      </c>
      <c r="M550" s="24">
        <v>400</v>
      </c>
      <c r="N550" s="24">
        <v>20</v>
      </c>
      <c r="O550" s="24">
        <f t="shared" ca="1" si="114"/>
        <v>566</v>
      </c>
      <c r="P550" s="24">
        <v>568</v>
      </c>
      <c r="Q550" s="11">
        <f t="shared" ca="1" si="115"/>
        <v>50</v>
      </c>
      <c r="R550" s="24">
        <v>200</v>
      </c>
      <c r="S550" s="24">
        <v>10</v>
      </c>
      <c r="T550" s="24">
        <f t="shared" ca="1" si="116"/>
        <v>828</v>
      </c>
    </row>
    <row r="551" spans="1:20" x14ac:dyDescent="0.45">
      <c r="A551" s="11">
        <v>538</v>
      </c>
      <c r="B551" s="11">
        <f t="shared" ca="1" si="104"/>
        <v>0.11944211981440667</v>
      </c>
      <c r="C551" s="11">
        <f t="shared" ca="1" si="105"/>
        <v>1100</v>
      </c>
      <c r="D551" s="11">
        <f t="shared" ca="1" si="106"/>
        <v>0.9817102630008373</v>
      </c>
      <c r="E551" s="11">
        <f t="shared" ca="1" si="107"/>
        <v>1900</v>
      </c>
      <c r="F551" s="11">
        <f t="shared" ca="1" si="108"/>
        <v>0.98787752556534769</v>
      </c>
      <c r="G551" s="11">
        <f t="shared" ca="1" si="109"/>
        <v>1900</v>
      </c>
      <c r="H551" s="11">
        <f t="shared" ca="1" si="110"/>
        <v>1100</v>
      </c>
      <c r="I551" s="11">
        <f t="shared" ca="1" si="111"/>
        <v>0.85702670005068671</v>
      </c>
      <c r="J551" s="11">
        <f t="shared" ca="1" si="112"/>
        <v>10</v>
      </c>
      <c r="K551" s="24">
        <v>96</v>
      </c>
      <c r="L551" s="24">
        <f t="shared" ca="1" si="113"/>
        <v>100</v>
      </c>
      <c r="M551" s="24">
        <v>400</v>
      </c>
      <c r="N551" s="24">
        <v>20</v>
      </c>
      <c r="O551" s="24">
        <f t="shared" ca="1" si="114"/>
        <v>616</v>
      </c>
      <c r="P551" s="24">
        <v>569</v>
      </c>
      <c r="Q551" s="11">
        <f t="shared" ca="1" si="115"/>
        <v>100</v>
      </c>
      <c r="R551" s="24">
        <v>200</v>
      </c>
      <c r="S551" s="24">
        <v>10</v>
      </c>
      <c r="T551" s="24">
        <f t="shared" ca="1" si="116"/>
        <v>879</v>
      </c>
    </row>
    <row r="552" spans="1:20" x14ac:dyDescent="0.45">
      <c r="A552" s="11">
        <v>539</v>
      </c>
      <c r="B552" s="11">
        <f t="shared" ca="1" si="104"/>
        <v>0.33323165816551015</v>
      </c>
      <c r="C552" s="11">
        <f t="shared" ca="1" si="105"/>
        <v>1200</v>
      </c>
      <c r="D552" s="11">
        <f t="shared" ca="1" si="106"/>
        <v>0.69048694449567749</v>
      </c>
      <c r="E552" s="11">
        <f t="shared" ca="1" si="107"/>
        <v>1400</v>
      </c>
      <c r="F552" s="11">
        <f t="shared" ca="1" si="108"/>
        <v>0.42054812196018609</v>
      </c>
      <c r="G552" s="11">
        <f t="shared" ca="1" si="109"/>
        <v>1200</v>
      </c>
      <c r="H552" s="11">
        <f t="shared" ca="1" si="110"/>
        <v>1200</v>
      </c>
      <c r="I552" s="11">
        <f t="shared" ca="1" si="111"/>
        <v>0.14410841892253012</v>
      </c>
      <c r="J552" s="11">
        <f t="shared" ca="1" si="112"/>
        <v>5</v>
      </c>
      <c r="K552" s="24">
        <v>96</v>
      </c>
      <c r="L552" s="24">
        <f t="shared" ca="1" si="113"/>
        <v>50</v>
      </c>
      <c r="M552" s="24">
        <v>400</v>
      </c>
      <c r="N552" s="24">
        <v>20</v>
      </c>
      <c r="O552" s="24">
        <f t="shared" ca="1" si="114"/>
        <v>566</v>
      </c>
      <c r="P552" s="24">
        <v>570</v>
      </c>
      <c r="Q552" s="11">
        <f t="shared" ca="1" si="115"/>
        <v>50</v>
      </c>
      <c r="R552" s="24">
        <v>200</v>
      </c>
      <c r="S552" s="24">
        <v>10</v>
      </c>
      <c r="T552" s="24">
        <f t="shared" ca="1" si="116"/>
        <v>830</v>
      </c>
    </row>
    <row r="553" spans="1:20" x14ac:dyDescent="0.45">
      <c r="A553" s="11">
        <v>540</v>
      </c>
      <c r="B553" s="11">
        <f t="shared" ca="1" si="104"/>
        <v>0.28696408559847408</v>
      </c>
      <c r="C553" s="11">
        <f t="shared" ca="1" si="105"/>
        <v>1200</v>
      </c>
      <c r="D553" s="11">
        <f t="shared" ca="1" si="106"/>
        <v>0.26185997385768589</v>
      </c>
      <c r="E553" s="11">
        <f t="shared" ca="1" si="107"/>
        <v>1200</v>
      </c>
      <c r="F553" s="11">
        <f t="shared" ca="1" si="108"/>
        <v>6.3597914859186422E-2</v>
      </c>
      <c r="G553" s="11">
        <f t="shared" ca="1" si="109"/>
        <v>1000</v>
      </c>
      <c r="H553" s="11">
        <f t="shared" ca="1" si="110"/>
        <v>1000</v>
      </c>
      <c r="I553" s="11">
        <f t="shared" ca="1" si="111"/>
        <v>0.71748334413792969</v>
      </c>
      <c r="J553" s="11">
        <f t="shared" ca="1" si="112"/>
        <v>10</v>
      </c>
      <c r="K553" s="24">
        <v>96</v>
      </c>
      <c r="L553" s="24">
        <f t="shared" ca="1" si="113"/>
        <v>100</v>
      </c>
      <c r="M553" s="24">
        <v>400</v>
      </c>
      <c r="N553" s="24">
        <v>20</v>
      </c>
      <c r="O553" s="24">
        <f t="shared" ca="1" si="114"/>
        <v>616</v>
      </c>
      <c r="P553" s="24">
        <v>571</v>
      </c>
      <c r="Q553" s="11">
        <f t="shared" ca="1" si="115"/>
        <v>100</v>
      </c>
      <c r="R553" s="24">
        <v>200</v>
      </c>
      <c r="S553" s="24">
        <v>10</v>
      </c>
      <c r="T553" s="24">
        <f t="shared" ca="1" si="116"/>
        <v>881</v>
      </c>
    </row>
    <row r="554" spans="1:20" x14ac:dyDescent="0.45">
      <c r="A554" s="11">
        <v>541</v>
      </c>
      <c r="B554" s="11">
        <f t="shared" ca="1" si="104"/>
        <v>0.16620103714527579</v>
      </c>
      <c r="C554" s="11">
        <f t="shared" ca="1" si="105"/>
        <v>1100</v>
      </c>
      <c r="D554" s="11">
        <f t="shared" ca="1" si="106"/>
        <v>0.85569792911334253</v>
      </c>
      <c r="E554" s="11">
        <f t="shared" ca="1" si="107"/>
        <v>1700</v>
      </c>
      <c r="F554" s="11">
        <f t="shared" ca="1" si="108"/>
        <v>0.66446592567198259</v>
      </c>
      <c r="G554" s="11">
        <f t="shared" ca="1" si="109"/>
        <v>1400</v>
      </c>
      <c r="H554" s="11">
        <f t="shared" ca="1" si="110"/>
        <v>1100</v>
      </c>
      <c r="I554" s="11">
        <f t="shared" ca="1" si="111"/>
        <v>0.4063194463954628</v>
      </c>
      <c r="J554" s="11">
        <f t="shared" ca="1" si="112"/>
        <v>5</v>
      </c>
      <c r="K554" s="24">
        <v>96</v>
      </c>
      <c r="L554" s="24">
        <f t="shared" ca="1" si="113"/>
        <v>50</v>
      </c>
      <c r="M554" s="24">
        <v>400</v>
      </c>
      <c r="N554" s="24">
        <v>20</v>
      </c>
      <c r="O554" s="24">
        <f t="shared" ca="1" si="114"/>
        <v>566</v>
      </c>
      <c r="P554" s="24">
        <v>572</v>
      </c>
      <c r="Q554" s="11">
        <f t="shared" ca="1" si="115"/>
        <v>50</v>
      </c>
      <c r="R554" s="24">
        <v>200</v>
      </c>
      <c r="S554" s="24">
        <v>10</v>
      </c>
      <c r="T554" s="24">
        <f t="shared" ca="1" si="116"/>
        <v>832</v>
      </c>
    </row>
    <row r="555" spans="1:20" x14ac:dyDescent="0.45">
      <c r="A555" s="11">
        <v>542</v>
      </c>
      <c r="B555" s="11">
        <f t="shared" ca="1" si="104"/>
        <v>0.71185594328332069</v>
      </c>
      <c r="C555" s="11">
        <f t="shared" ca="1" si="105"/>
        <v>1500</v>
      </c>
      <c r="D555" s="11">
        <f t="shared" ca="1" si="106"/>
        <v>0.24842551968660442</v>
      </c>
      <c r="E555" s="11">
        <f t="shared" ca="1" si="107"/>
        <v>1200</v>
      </c>
      <c r="F555" s="11">
        <f t="shared" ca="1" si="108"/>
        <v>0.32802094515230507</v>
      </c>
      <c r="G555" s="11">
        <f t="shared" ca="1" si="109"/>
        <v>1200</v>
      </c>
      <c r="H555" s="11">
        <f t="shared" ca="1" si="110"/>
        <v>1200</v>
      </c>
      <c r="I555" s="11">
        <f t="shared" ca="1" si="111"/>
        <v>0.74967952083776901</v>
      </c>
      <c r="J555" s="11">
        <f t="shared" ca="1" si="112"/>
        <v>10</v>
      </c>
      <c r="K555" s="24">
        <v>96</v>
      </c>
      <c r="L555" s="24">
        <f t="shared" ca="1" si="113"/>
        <v>100</v>
      </c>
      <c r="M555" s="24">
        <v>400</v>
      </c>
      <c r="N555" s="24">
        <v>20</v>
      </c>
      <c r="O555" s="24">
        <f t="shared" ca="1" si="114"/>
        <v>616</v>
      </c>
      <c r="P555" s="24">
        <v>573</v>
      </c>
      <c r="Q555" s="11">
        <f t="shared" ca="1" si="115"/>
        <v>100</v>
      </c>
      <c r="R555" s="24">
        <v>200</v>
      </c>
      <c r="S555" s="24">
        <v>10</v>
      </c>
      <c r="T555" s="24">
        <f t="shared" ca="1" si="116"/>
        <v>883</v>
      </c>
    </row>
    <row r="556" spans="1:20" x14ac:dyDescent="0.45">
      <c r="A556" s="11">
        <v>543</v>
      </c>
      <c r="B556" s="11">
        <f t="shared" ca="1" si="104"/>
        <v>0.21777260366229956</v>
      </c>
      <c r="C556" s="11">
        <f t="shared" ca="1" si="105"/>
        <v>1100</v>
      </c>
      <c r="D556" s="11">
        <f t="shared" ca="1" si="106"/>
        <v>0.40244089253187598</v>
      </c>
      <c r="E556" s="11">
        <f t="shared" ca="1" si="107"/>
        <v>1200</v>
      </c>
      <c r="F556" s="11">
        <f t="shared" ca="1" si="108"/>
        <v>0.19723791143960734</v>
      </c>
      <c r="G556" s="11">
        <f t="shared" ca="1" si="109"/>
        <v>1100</v>
      </c>
      <c r="H556" s="11">
        <f t="shared" ca="1" si="110"/>
        <v>1100</v>
      </c>
      <c r="I556" s="11">
        <f t="shared" ca="1" si="111"/>
        <v>0.3993003438747097</v>
      </c>
      <c r="J556" s="11">
        <f t="shared" ca="1" si="112"/>
        <v>5</v>
      </c>
      <c r="K556" s="24">
        <v>96</v>
      </c>
      <c r="L556" s="24">
        <f t="shared" ca="1" si="113"/>
        <v>50</v>
      </c>
      <c r="M556" s="24">
        <v>400</v>
      </c>
      <c r="N556" s="24">
        <v>20</v>
      </c>
      <c r="O556" s="24">
        <f t="shared" ca="1" si="114"/>
        <v>566</v>
      </c>
      <c r="P556" s="24">
        <v>574</v>
      </c>
      <c r="Q556" s="11">
        <f t="shared" ca="1" si="115"/>
        <v>50</v>
      </c>
      <c r="R556" s="24">
        <v>200</v>
      </c>
      <c r="S556" s="24">
        <v>10</v>
      </c>
      <c r="T556" s="24">
        <f t="shared" ca="1" si="116"/>
        <v>834</v>
      </c>
    </row>
    <row r="557" spans="1:20" x14ac:dyDescent="0.45">
      <c r="A557" s="11">
        <v>544</v>
      </c>
      <c r="B557" s="11">
        <f t="shared" ca="1" si="104"/>
        <v>0.27592547401624734</v>
      </c>
      <c r="C557" s="11">
        <f t="shared" ca="1" si="105"/>
        <v>1200</v>
      </c>
      <c r="D557" s="11">
        <f t="shared" ca="1" si="106"/>
        <v>0.64930319596111452</v>
      </c>
      <c r="E557" s="11">
        <f t="shared" ca="1" si="107"/>
        <v>1400</v>
      </c>
      <c r="F557" s="11">
        <f t="shared" ca="1" si="108"/>
        <v>0.82930498006437969</v>
      </c>
      <c r="G557" s="11">
        <f t="shared" ca="1" si="109"/>
        <v>1600</v>
      </c>
      <c r="H557" s="11">
        <f t="shared" ca="1" si="110"/>
        <v>1200</v>
      </c>
      <c r="I557" s="11">
        <f t="shared" ca="1" si="111"/>
        <v>0.49325995015535484</v>
      </c>
      <c r="J557" s="11">
        <f t="shared" ca="1" si="112"/>
        <v>5</v>
      </c>
      <c r="K557" s="24">
        <v>96</v>
      </c>
      <c r="L557" s="24">
        <f t="shared" ca="1" si="113"/>
        <v>50</v>
      </c>
      <c r="M557" s="24">
        <v>400</v>
      </c>
      <c r="N557" s="24">
        <v>20</v>
      </c>
      <c r="O557" s="24">
        <f t="shared" ca="1" si="114"/>
        <v>566</v>
      </c>
      <c r="P557" s="24">
        <v>575</v>
      </c>
      <c r="Q557" s="11">
        <f t="shared" ca="1" si="115"/>
        <v>50</v>
      </c>
      <c r="R557" s="24">
        <v>200</v>
      </c>
      <c r="S557" s="24">
        <v>10</v>
      </c>
      <c r="T557" s="24">
        <f t="shared" ca="1" si="116"/>
        <v>835</v>
      </c>
    </row>
    <row r="558" spans="1:20" x14ac:dyDescent="0.45">
      <c r="A558" s="11">
        <v>545</v>
      </c>
      <c r="B558" s="11">
        <f t="shared" ca="1" si="104"/>
        <v>0.41213007730199236</v>
      </c>
      <c r="C558" s="11">
        <f t="shared" ca="1" si="105"/>
        <v>1200</v>
      </c>
      <c r="D558" s="11">
        <f t="shared" ca="1" si="106"/>
        <v>0.94421596595576629</v>
      </c>
      <c r="E558" s="11">
        <f t="shared" ca="1" si="107"/>
        <v>1800</v>
      </c>
      <c r="F558" s="11">
        <f t="shared" ca="1" si="108"/>
        <v>0.91313712297122884</v>
      </c>
      <c r="G558" s="11">
        <f t="shared" ca="1" si="109"/>
        <v>1800</v>
      </c>
      <c r="H558" s="11">
        <f t="shared" ca="1" si="110"/>
        <v>1200</v>
      </c>
      <c r="I558" s="11">
        <f t="shared" ca="1" si="111"/>
        <v>0.8689758736038149</v>
      </c>
      <c r="J558" s="11">
        <f t="shared" ca="1" si="112"/>
        <v>10</v>
      </c>
      <c r="K558" s="24">
        <v>96</v>
      </c>
      <c r="L558" s="24">
        <f t="shared" ca="1" si="113"/>
        <v>100</v>
      </c>
      <c r="M558" s="24">
        <v>400</v>
      </c>
      <c r="N558" s="24">
        <v>20</v>
      </c>
      <c r="O558" s="24">
        <f t="shared" ca="1" si="114"/>
        <v>616</v>
      </c>
      <c r="P558" s="24">
        <v>576</v>
      </c>
      <c r="Q558" s="11">
        <f t="shared" ca="1" si="115"/>
        <v>100</v>
      </c>
      <c r="R558" s="24">
        <v>200</v>
      </c>
      <c r="S558" s="24">
        <v>10</v>
      </c>
      <c r="T558" s="24">
        <f t="shared" ca="1" si="116"/>
        <v>886</v>
      </c>
    </row>
    <row r="559" spans="1:20" x14ac:dyDescent="0.45">
      <c r="A559" s="11">
        <v>546</v>
      </c>
      <c r="B559" s="11">
        <f t="shared" ca="1" si="104"/>
        <v>0.56974788513899211</v>
      </c>
      <c r="C559" s="11">
        <f t="shared" ca="1" si="105"/>
        <v>1300</v>
      </c>
      <c r="D559" s="11">
        <f t="shared" ca="1" si="106"/>
        <v>0.84018464303898754</v>
      </c>
      <c r="E559" s="11">
        <f t="shared" ca="1" si="107"/>
        <v>1700</v>
      </c>
      <c r="F559" s="11">
        <f t="shared" ca="1" si="108"/>
        <v>0.9222399629282696</v>
      </c>
      <c r="G559" s="11">
        <f t="shared" ca="1" si="109"/>
        <v>1800</v>
      </c>
      <c r="H559" s="11">
        <f t="shared" ca="1" si="110"/>
        <v>1300</v>
      </c>
      <c r="I559" s="11">
        <f t="shared" ca="1" si="111"/>
        <v>0.97428830106645814</v>
      </c>
      <c r="J559" s="11">
        <f t="shared" ca="1" si="112"/>
        <v>15</v>
      </c>
      <c r="K559" s="24">
        <v>96</v>
      </c>
      <c r="L559" s="24">
        <f t="shared" ca="1" si="113"/>
        <v>150</v>
      </c>
      <c r="M559" s="24">
        <v>400</v>
      </c>
      <c r="N559" s="24">
        <v>20</v>
      </c>
      <c r="O559" s="24">
        <f t="shared" ca="1" si="114"/>
        <v>666</v>
      </c>
      <c r="P559" s="24">
        <v>577</v>
      </c>
      <c r="Q559" s="11">
        <f t="shared" ca="1" si="115"/>
        <v>150</v>
      </c>
      <c r="R559" s="24">
        <v>200</v>
      </c>
      <c r="S559" s="24">
        <v>10</v>
      </c>
      <c r="T559" s="24">
        <f t="shared" ca="1" si="116"/>
        <v>937</v>
      </c>
    </row>
    <row r="560" spans="1:20" x14ac:dyDescent="0.45">
      <c r="A560" s="11">
        <v>547</v>
      </c>
      <c r="B560" s="11">
        <f t="shared" ca="1" si="104"/>
        <v>0.73646336217613029</v>
      </c>
      <c r="C560" s="11">
        <f t="shared" ca="1" si="105"/>
        <v>1500</v>
      </c>
      <c r="D560" s="11">
        <f t="shared" ca="1" si="106"/>
        <v>0.99370513201728994</v>
      </c>
      <c r="E560" s="11">
        <f t="shared" ca="1" si="107"/>
        <v>1900</v>
      </c>
      <c r="F560" s="11">
        <f t="shared" ca="1" si="108"/>
        <v>0.74493066806962316</v>
      </c>
      <c r="G560" s="11">
        <f t="shared" ca="1" si="109"/>
        <v>1500</v>
      </c>
      <c r="H560" s="11">
        <f t="shared" ca="1" si="110"/>
        <v>1500</v>
      </c>
      <c r="I560" s="11">
        <f t="shared" ca="1" si="111"/>
        <v>0.21950144884638301</v>
      </c>
      <c r="J560" s="11">
        <f t="shared" ca="1" si="112"/>
        <v>5</v>
      </c>
      <c r="K560" s="24">
        <v>96</v>
      </c>
      <c r="L560" s="24">
        <f t="shared" ca="1" si="113"/>
        <v>50</v>
      </c>
      <c r="M560" s="24">
        <v>400</v>
      </c>
      <c r="N560" s="24">
        <v>20</v>
      </c>
      <c r="O560" s="24">
        <f t="shared" ca="1" si="114"/>
        <v>566</v>
      </c>
      <c r="P560" s="24">
        <v>578</v>
      </c>
      <c r="Q560" s="11">
        <f t="shared" ca="1" si="115"/>
        <v>50</v>
      </c>
      <c r="R560" s="24">
        <v>200</v>
      </c>
      <c r="S560" s="24">
        <v>10</v>
      </c>
      <c r="T560" s="24">
        <f t="shared" ca="1" si="116"/>
        <v>838</v>
      </c>
    </row>
    <row r="561" spans="1:20" x14ac:dyDescent="0.45">
      <c r="A561" s="11">
        <v>548</v>
      </c>
      <c r="B561" s="11">
        <f t="shared" ca="1" si="104"/>
        <v>0.76045476071222573</v>
      </c>
      <c r="C561" s="11">
        <f t="shared" ca="1" si="105"/>
        <v>1500</v>
      </c>
      <c r="D561" s="11">
        <f t="shared" ca="1" si="106"/>
        <v>0.79684781259842707</v>
      </c>
      <c r="E561" s="11">
        <f t="shared" ca="1" si="107"/>
        <v>1500</v>
      </c>
      <c r="F561" s="11">
        <f t="shared" ca="1" si="108"/>
        <v>1.2307426859320292E-2</v>
      </c>
      <c r="G561" s="11">
        <f t="shared" ca="1" si="109"/>
        <v>1000</v>
      </c>
      <c r="H561" s="11">
        <f t="shared" ca="1" si="110"/>
        <v>1000</v>
      </c>
      <c r="I561" s="11">
        <f t="shared" ca="1" si="111"/>
        <v>5.1526930102615331E-2</v>
      </c>
      <c r="J561" s="11">
        <f t="shared" ca="1" si="112"/>
        <v>5</v>
      </c>
      <c r="K561" s="24">
        <v>96</v>
      </c>
      <c r="L561" s="24">
        <f t="shared" ca="1" si="113"/>
        <v>50</v>
      </c>
      <c r="M561" s="24">
        <v>400</v>
      </c>
      <c r="N561" s="24">
        <v>20</v>
      </c>
      <c r="O561" s="24">
        <f t="shared" ca="1" si="114"/>
        <v>566</v>
      </c>
      <c r="P561" s="24">
        <v>579</v>
      </c>
      <c r="Q561" s="11">
        <f t="shared" ca="1" si="115"/>
        <v>50</v>
      </c>
      <c r="R561" s="24">
        <v>200</v>
      </c>
      <c r="S561" s="24">
        <v>10</v>
      </c>
      <c r="T561" s="24">
        <f t="shared" ca="1" si="116"/>
        <v>839</v>
      </c>
    </row>
    <row r="562" spans="1:20" x14ac:dyDescent="0.45">
      <c r="A562" s="11">
        <v>549</v>
      </c>
      <c r="B562" s="11">
        <f t="shared" ca="1" si="104"/>
        <v>0.10486715509958167</v>
      </c>
      <c r="C562" s="11">
        <f t="shared" ca="1" si="105"/>
        <v>1100</v>
      </c>
      <c r="D562" s="11">
        <f t="shared" ca="1" si="106"/>
        <v>0.61757101123659608</v>
      </c>
      <c r="E562" s="11">
        <f t="shared" ca="1" si="107"/>
        <v>1400</v>
      </c>
      <c r="F562" s="11">
        <f t="shared" ca="1" si="108"/>
        <v>0.1650980508509059</v>
      </c>
      <c r="G562" s="11">
        <f t="shared" ca="1" si="109"/>
        <v>1100</v>
      </c>
      <c r="H562" s="11">
        <f t="shared" ca="1" si="110"/>
        <v>1100</v>
      </c>
      <c r="I562" s="11">
        <f t="shared" ca="1" si="111"/>
        <v>6.4255619357231675E-2</v>
      </c>
      <c r="J562" s="11">
        <f t="shared" ca="1" si="112"/>
        <v>5</v>
      </c>
      <c r="K562" s="24">
        <v>96</v>
      </c>
      <c r="L562" s="24">
        <f t="shared" ca="1" si="113"/>
        <v>50</v>
      </c>
      <c r="M562" s="24">
        <v>400</v>
      </c>
      <c r="N562" s="24">
        <v>20</v>
      </c>
      <c r="O562" s="24">
        <f t="shared" ca="1" si="114"/>
        <v>566</v>
      </c>
      <c r="P562" s="24">
        <v>580</v>
      </c>
      <c r="Q562" s="11">
        <f t="shared" ca="1" si="115"/>
        <v>50</v>
      </c>
      <c r="R562" s="24">
        <v>200</v>
      </c>
      <c r="S562" s="24">
        <v>10</v>
      </c>
      <c r="T562" s="24">
        <f t="shared" ca="1" si="116"/>
        <v>840</v>
      </c>
    </row>
    <row r="563" spans="1:20" x14ac:dyDescent="0.45">
      <c r="A563" s="11">
        <v>550</v>
      </c>
      <c r="B563" s="11">
        <f t="shared" ca="1" si="104"/>
        <v>0.38237615495987942</v>
      </c>
      <c r="C563" s="11">
        <f t="shared" ca="1" si="105"/>
        <v>1200</v>
      </c>
      <c r="D563" s="11">
        <f t="shared" ca="1" si="106"/>
        <v>0.5402157598101216</v>
      </c>
      <c r="E563" s="11">
        <f t="shared" ca="1" si="107"/>
        <v>1300</v>
      </c>
      <c r="F563" s="11">
        <f t="shared" ca="1" si="108"/>
        <v>0.88728647680020989</v>
      </c>
      <c r="G563" s="11">
        <f t="shared" ca="1" si="109"/>
        <v>1700</v>
      </c>
      <c r="H563" s="11">
        <f t="shared" ca="1" si="110"/>
        <v>1200</v>
      </c>
      <c r="I563" s="11">
        <f t="shared" ca="1" si="111"/>
        <v>0.77746312105670556</v>
      </c>
      <c r="J563" s="11">
        <f t="shared" ca="1" si="112"/>
        <v>10</v>
      </c>
      <c r="K563" s="24">
        <v>96</v>
      </c>
      <c r="L563" s="24">
        <f t="shared" ca="1" si="113"/>
        <v>100</v>
      </c>
      <c r="M563" s="24">
        <v>400</v>
      </c>
      <c r="N563" s="24">
        <v>20</v>
      </c>
      <c r="O563" s="24">
        <f t="shared" ca="1" si="114"/>
        <v>616</v>
      </c>
      <c r="P563" s="24">
        <v>581</v>
      </c>
      <c r="Q563" s="11">
        <f t="shared" ca="1" si="115"/>
        <v>100</v>
      </c>
      <c r="R563" s="24">
        <v>200</v>
      </c>
      <c r="S563" s="24">
        <v>10</v>
      </c>
      <c r="T563" s="24">
        <f t="shared" ca="1" si="116"/>
        <v>891</v>
      </c>
    </row>
    <row r="564" spans="1:20" x14ac:dyDescent="0.45">
      <c r="A564" s="11">
        <v>551</v>
      </c>
      <c r="B564" s="11">
        <f t="shared" ca="1" si="104"/>
        <v>0.99142290763627849</v>
      </c>
      <c r="C564" s="11">
        <f t="shared" ca="1" si="105"/>
        <v>1900</v>
      </c>
      <c r="D564" s="11">
        <f t="shared" ca="1" si="106"/>
        <v>0.58726751068869687</v>
      </c>
      <c r="E564" s="11">
        <f t="shared" ca="1" si="107"/>
        <v>1300</v>
      </c>
      <c r="F564" s="11">
        <f t="shared" ca="1" si="108"/>
        <v>0.97457562668543285</v>
      </c>
      <c r="G564" s="11">
        <f t="shared" ca="1" si="109"/>
        <v>1900</v>
      </c>
      <c r="H564" s="11">
        <f t="shared" ca="1" si="110"/>
        <v>1300</v>
      </c>
      <c r="I564" s="11">
        <f t="shared" ca="1" si="111"/>
        <v>0.4475690372671326</v>
      </c>
      <c r="J564" s="11">
        <f t="shared" ca="1" si="112"/>
        <v>5</v>
      </c>
      <c r="K564" s="24">
        <v>96</v>
      </c>
      <c r="L564" s="24">
        <f t="shared" ca="1" si="113"/>
        <v>50</v>
      </c>
      <c r="M564" s="24">
        <v>400</v>
      </c>
      <c r="N564" s="24">
        <v>20</v>
      </c>
      <c r="O564" s="24">
        <f t="shared" ca="1" si="114"/>
        <v>566</v>
      </c>
      <c r="P564" s="24">
        <v>582</v>
      </c>
      <c r="Q564" s="11">
        <f t="shared" ca="1" si="115"/>
        <v>50</v>
      </c>
      <c r="R564" s="24">
        <v>200</v>
      </c>
      <c r="S564" s="24">
        <v>10</v>
      </c>
      <c r="T564" s="24">
        <f t="shared" ca="1" si="116"/>
        <v>842</v>
      </c>
    </row>
    <row r="565" spans="1:20" x14ac:dyDescent="0.45">
      <c r="A565" s="11">
        <v>552</v>
      </c>
      <c r="B565" s="11">
        <f t="shared" ca="1" si="104"/>
        <v>6.1038146680466254E-2</v>
      </c>
      <c r="C565" s="11">
        <f t="shared" ca="1" si="105"/>
        <v>1000</v>
      </c>
      <c r="D565" s="11">
        <f t="shared" ca="1" si="106"/>
        <v>0.33041965396350148</v>
      </c>
      <c r="E565" s="11">
        <f t="shared" ca="1" si="107"/>
        <v>1200</v>
      </c>
      <c r="F565" s="11">
        <f t="shared" ca="1" si="108"/>
        <v>1.728785340693062E-2</v>
      </c>
      <c r="G565" s="11">
        <f t="shared" ca="1" si="109"/>
        <v>1000</v>
      </c>
      <c r="H565" s="11">
        <f t="shared" ca="1" si="110"/>
        <v>1000</v>
      </c>
      <c r="I565" s="11">
        <f t="shared" ca="1" si="111"/>
        <v>0.53611828261731631</v>
      </c>
      <c r="J565" s="11">
        <f t="shared" ca="1" si="112"/>
        <v>5</v>
      </c>
      <c r="K565" s="24">
        <v>96</v>
      </c>
      <c r="L565" s="24">
        <f t="shared" ca="1" si="113"/>
        <v>50</v>
      </c>
      <c r="M565" s="24">
        <v>400</v>
      </c>
      <c r="N565" s="24">
        <v>20</v>
      </c>
      <c r="O565" s="24">
        <f t="shared" ca="1" si="114"/>
        <v>566</v>
      </c>
      <c r="P565" s="24">
        <v>583</v>
      </c>
      <c r="Q565" s="11">
        <f t="shared" ca="1" si="115"/>
        <v>50</v>
      </c>
      <c r="R565" s="24">
        <v>200</v>
      </c>
      <c r="S565" s="24">
        <v>10</v>
      </c>
      <c r="T565" s="24">
        <f t="shared" ca="1" si="116"/>
        <v>843</v>
      </c>
    </row>
    <row r="566" spans="1:20" x14ac:dyDescent="0.45">
      <c r="A566" s="11">
        <v>553</v>
      </c>
      <c r="B566" s="11">
        <f t="shared" ca="1" si="104"/>
        <v>0.27117355330494419</v>
      </c>
      <c r="C566" s="11">
        <f t="shared" ca="1" si="105"/>
        <v>1200</v>
      </c>
      <c r="D566" s="11">
        <f t="shared" ca="1" si="106"/>
        <v>0.91266841682970312</v>
      </c>
      <c r="E566" s="11">
        <f t="shared" ca="1" si="107"/>
        <v>1800</v>
      </c>
      <c r="F566" s="11">
        <f t="shared" ca="1" si="108"/>
        <v>0.86023691552318171</v>
      </c>
      <c r="G566" s="11">
        <f t="shared" ca="1" si="109"/>
        <v>1700</v>
      </c>
      <c r="H566" s="11">
        <f t="shared" ca="1" si="110"/>
        <v>1200</v>
      </c>
      <c r="I566" s="11">
        <f t="shared" ca="1" si="111"/>
        <v>3.665693283818483E-2</v>
      </c>
      <c r="J566" s="11">
        <f t="shared" ca="1" si="112"/>
        <v>5</v>
      </c>
      <c r="K566" s="24">
        <v>96</v>
      </c>
      <c r="L566" s="24">
        <f t="shared" ca="1" si="113"/>
        <v>50</v>
      </c>
      <c r="M566" s="24">
        <v>400</v>
      </c>
      <c r="N566" s="24">
        <v>20</v>
      </c>
      <c r="O566" s="24">
        <f t="shared" ca="1" si="114"/>
        <v>566</v>
      </c>
      <c r="P566" s="24">
        <v>584</v>
      </c>
      <c r="Q566" s="11">
        <f t="shared" ca="1" si="115"/>
        <v>50</v>
      </c>
      <c r="R566" s="24">
        <v>200</v>
      </c>
      <c r="S566" s="24">
        <v>10</v>
      </c>
      <c r="T566" s="24">
        <f t="shared" ca="1" si="116"/>
        <v>844</v>
      </c>
    </row>
    <row r="567" spans="1:20" x14ac:dyDescent="0.45">
      <c r="A567" s="11">
        <v>554</v>
      </c>
      <c r="B567" s="11">
        <f t="shared" ca="1" si="104"/>
        <v>7.4320370270049119E-2</v>
      </c>
      <c r="C567" s="11">
        <f t="shared" ca="1" si="105"/>
        <v>1000</v>
      </c>
      <c r="D567" s="11">
        <f t="shared" ca="1" si="106"/>
        <v>0.55717582635362017</v>
      </c>
      <c r="E567" s="11">
        <f t="shared" ca="1" si="107"/>
        <v>1300</v>
      </c>
      <c r="F567" s="11">
        <f t="shared" ca="1" si="108"/>
        <v>0.33690242834418926</v>
      </c>
      <c r="G567" s="11">
        <f t="shared" ca="1" si="109"/>
        <v>1200</v>
      </c>
      <c r="H567" s="11">
        <f t="shared" ca="1" si="110"/>
        <v>1000</v>
      </c>
      <c r="I567" s="11">
        <f t="shared" ca="1" si="111"/>
        <v>0.38766187315898004</v>
      </c>
      <c r="J567" s="11">
        <f t="shared" ca="1" si="112"/>
        <v>5</v>
      </c>
      <c r="K567" s="24">
        <v>96</v>
      </c>
      <c r="L567" s="24">
        <f t="shared" ca="1" si="113"/>
        <v>50</v>
      </c>
      <c r="M567" s="24">
        <v>400</v>
      </c>
      <c r="N567" s="24">
        <v>20</v>
      </c>
      <c r="O567" s="24">
        <f t="shared" ca="1" si="114"/>
        <v>566</v>
      </c>
      <c r="P567" s="24">
        <v>585</v>
      </c>
      <c r="Q567" s="11">
        <f t="shared" ca="1" si="115"/>
        <v>50</v>
      </c>
      <c r="R567" s="24">
        <v>200</v>
      </c>
      <c r="S567" s="24">
        <v>10</v>
      </c>
      <c r="T567" s="24">
        <f t="shared" ca="1" si="116"/>
        <v>845</v>
      </c>
    </row>
    <row r="568" spans="1:20" x14ac:dyDescent="0.45">
      <c r="A568" s="11">
        <v>555</v>
      </c>
      <c r="B568" s="11">
        <f t="shared" ca="1" si="104"/>
        <v>9.8720828531039473E-2</v>
      </c>
      <c r="C568" s="11">
        <f t="shared" ca="1" si="105"/>
        <v>1000</v>
      </c>
      <c r="D568" s="11">
        <f t="shared" ca="1" si="106"/>
        <v>0.73084441671094424</v>
      </c>
      <c r="E568" s="11">
        <f t="shared" ca="1" si="107"/>
        <v>1500</v>
      </c>
      <c r="F568" s="11">
        <f t="shared" ca="1" si="108"/>
        <v>0.83976198003667013</v>
      </c>
      <c r="G568" s="11">
        <f t="shared" ca="1" si="109"/>
        <v>1600</v>
      </c>
      <c r="H568" s="11">
        <f t="shared" ca="1" si="110"/>
        <v>1000</v>
      </c>
      <c r="I568" s="11">
        <f t="shared" ca="1" si="111"/>
        <v>0.31067072166879017</v>
      </c>
      <c r="J568" s="11">
        <f t="shared" ca="1" si="112"/>
        <v>5</v>
      </c>
      <c r="K568" s="24">
        <v>96</v>
      </c>
      <c r="L568" s="24">
        <f t="shared" ca="1" si="113"/>
        <v>50</v>
      </c>
      <c r="M568" s="24">
        <v>400</v>
      </c>
      <c r="N568" s="24">
        <v>20</v>
      </c>
      <c r="O568" s="24">
        <f t="shared" ca="1" si="114"/>
        <v>566</v>
      </c>
      <c r="P568" s="24">
        <v>586</v>
      </c>
      <c r="Q568" s="11">
        <f t="shared" ca="1" si="115"/>
        <v>50</v>
      </c>
      <c r="R568" s="24">
        <v>200</v>
      </c>
      <c r="S568" s="24">
        <v>10</v>
      </c>
      <c r="T568" s="24">
        <f t="shared" ca="1" si="116"/>
        <v>846</v>
      </c>
    </row>
    <row r="569" spans="1:20" x14ac:dyDescent="0.45">
      <c r="A569" s="11">
        <v>556</v>
      </c>
      <c r="B569" s="11">
        <f t="shared" ca="1" si="104"/>
        <v>0.77118393607670033</v>
      </c>
      <c r="C569" s="11">
        <f t="shared" ca="1" si="105"/>
        <v>1500</v>
      </c>
      <c r="D569" s="11">
        <f t="shared" ca="1" si="106"/>
        <v>9.4605716167124321E-2</v>
      </c>
      <c r="E569" s="11">
        <f t="shared" ca="1" si="107"/>
        <v>1000</v>
      </c>
      <c r="F569" s="11">
        <f t="shared" ca="1" si="108"/>
        <v>0.63459654401711563</v>
      </c>
      <c r="G569" s="11">
        <f t="shared" ca="1" si="109"/>
        <v>1400</v>
      </c>
      <c r="H569" s="11">
        <f t="shared" ca="1" si="110"/>
        <v>1000</v>
      </c>
      <c r="I569" s="11">
        <f t="shared" ca="1" si="111"/>
        <v>0.28767874646276514</v>
      </c>
      <c r="J569" s="11">
        <f t="shared" ca="1" si="112"/>
        <v>5</v>
      </c>
      <c r="K569" s="24">
        <v>96</v>
      </c>
      <c r="L569" s="24">
        <f t="shared" ca="1" si="113"/>
        <v>50</v>
      </c>
      <c r="M569" s="24">
        <v>400</v>
      </c>
      <c r="N569" s="24">
        <v>20</v>
      </c>
      <c r="O569" s="24">
        <f t="shared" ca="1" si="114"/>
        <v>566</v>
      </c>
      <c r="P569" s="24">
        <v>587</v>
      </c>
      <c r="Q569" s="11">
        <f t="shared" ca="1" si="115"/>
        <v>50</v>
      </c>
      <c r="R569" s="24">
        <v>200</v>
      </c>
      <c r="S569" s="24">
        <v>10</v>
      </c>
      <c r="T569" s="24">
        <f t="shared" ca="1" si="116"/>
        <v>847</v>
      </c>
    </row>
    <row r="570" spans="1:20" x14ac:dyDescent="0.45">
      <c r="A570" s="11">
        <v>557</v>
      </c>
      <c r="B570" s="11">
        <f t="shared" ca="1" si="104"/>
        <v>0.35582614713240557</v>
      </c>
      <c r="C570" s="11">
        <f t="shared" ca="1" si="105"/>
        <v>1200</v>
      </c>
      <c r="D570" s="11">
        <f t="shared" ca="1" si="106"/>
        <v>0.60572056535650631</v>
      </c>
      <c r="E570" s="11">
        <f t="shared" ca="1" si="107"/>
        <v>1300</v>
      </c>
      <c r="F570" s="11">
        <f t="shared" ca="1" si="108"/>
        <v>9.1767276504928219E-2</v>
      </c>
      <c r="G570" s="11">
        <f t="shared" ca="1" si="109"/>
        <v>1000</v>
      </c>
      <c r="H570" s="11">
        <f t="shared" ca="1" si="110"/>
        <v>1000</v>
      </c>
      <c r="I570" s="11">
        <f t="shared" ca="1" si="111"/>
        <v>0.8193084659412736</v>
      </c>
      <c r="J570" s="11">
        <f t="shared" ca="1" si="112"/>
        <v>10</v>
      </c>
      <c r="K570" s="24">
        <v>96</v>
      </c>
      <c r="L570" s="24">
        <f t="shared" ca="1" si="113"/>
        <v>100</v>
      </c>
      <c r="M570" s="24">
        <v>400</v>
      </c>
      <c r="N570" s="24">
        <v>20</v>
      </c>
      <c r="O570" s="24">
        <f t="shared" ca="1" si="114"/>
        <v>616</v>
      </c>
      <c r="P570" s="24">
        <v>588</v>
      </c>
      <c r="Q570" s="11">
        <f t="shared" ca="1" si="115"/>
        <v>100</v>
      </c>
      <c r="R570" s="24">
        <v>200</v>
      </c>
      <c r="S570" s="24">
        <v>10</v>
      </c>
      <c r="T570" s="24">
        <f t="shared" ca="1" si="116"/>
        <v>898</v>
      </c>
    </row>
    <row r="571" spans="1:20" x14ac:dyDescent="0.45">
      <c r="A571" s="11">
        <v>558</v>
      </c>
      <c r="B571" s="11">
        <f t="shared" ca="1" si="104"/>
        <v>0.57344446308416308</v>
      </c>
      <c r="C571" s="11">
        <f t="shared" ca="1" si="105"/>
        <v>1300</v>
      </c>
      <c r="D571" s="11">
        <f t="shared" ca="1" si="106"/>
        <v>0.69133604647706826</v>
      </c>
      <c r="E571" s="11">
        <f t="shared" ca="1" si="107"/>
        <v>1400</v>
      </c>
      <c r="F571" s="11">
        <f t="shared" ca="1" si="108"/>
        <v>0.43363993818884972</v>
      </c>
      <c r="G571" s="11">
        <f t="shared" ca="1" si="109"/>
        <v>1200</v>
      </c>
      <c r="H571" s="11">
        <f t="shared" ca="1" si="110"/>
        <v>1200</v>
      </c>
      <c r="I571" s="11">
        <f t="shared" ca="1" si="111"/>
        <v>0.85163452026119446</v>
      </c>
      <c r="J571" s="11">
        <f t="shared" ca="1" si="112"/>
        <v>10</v>
      </c>
      <c r="K571" s="24">
        <v>96</v>
      </c>
      <c r="L571" s="24">
        <f t="shared" ca="1" si="113"/>
        <v>100</v>
      </c>
      <c r="M571" s="24">
        <v>400</v>
      </c>
      <c r="N571" s="24">
        <v>20</v>
      </c>
      <c r="O571" s="24">
        <f t="shared" ca="1" si="114"/>
        <v>616</v>
      </c>
      <c r="P571" s="24">
        <v>589</v>
      </c>
      <c r="Q571" s="11">
        <f t="shared" ca="1" si="115"/>
        <v>100</v>
      </c>
      <c r="R571" s="24">
        <v>200</v>
      </c>
      <c r="S571" s="24">
        <v>10</v>
      </c>
      <c r="T571" s="24">
        <f t="shared" ca="1" si="116"/>
        <v>899</v>
      </c>
    </row>
    <row r="572" spans="1:20" x14ac:dyDescent="0.45">
      <c r="A572" s="11">
        <v>559</v>
      </c>
      <c r="B572" s="11">
        <f t="shared" ca="1" si="104"/>
        <v>3.0934318251162107E-2</v>
      </c>
      <c r="C572" s="11">
        <f t="shared" ca="1" si="105"/>
        <v>1000</v>
      </c>
      <c r="D572" s="11">
        <f t="shared" ca="1" si="106"/>
        <v>0.30314136023668303</v>
      </c>
      <c r="E572" s="11">
        <f t="shared" ca="1" si="107"/>
        <v>1200</v>
      </c>
      <c r="F572" s="11">
        <f t="shared" ca="1" si="108"/>
        <v>0.43043782105687312</v>
      </c>
      <c r="G572" s="11">
        <f t="shared" ca="1" si="109"/>
        <v>1200</v>
      </c>
      <c r="H572" s="11">
        <f t="shared" ca="1" si="110"/>
        <v>1000</v>
      </c>
      <c r="I572" s="11">
        <f t="shared" ca="1" si="111"/>
        <v>0.72258117127363397</v>
      </c>
      <c r="J572" s="11">
        <f t="shared" ca="1" si="112"/>
        <v>10</v>
      </c>
      <c r="K572" s="24">
        <v>96</v>
      </c>
      <c r="L572" s="24">
        <f t="shared" ca="1" si="113"/>
        <v>100</v>
      </c>
      <c r="M572" s="24">
        <v>400</v>
      </c>
      <c r="N572" s="24">
        <v>20</v>
      </c>
      <c r="O572" s="24">
        <f t="shared" ca="1" si="114"/>
        <v>616</v>
      </c>
      <c r="P572" s="24">
        <v>590</v>
      </c>
      <c r="Q572" s="11">
        <f t="shared" ca="1" si="115"/>
        <v>100</v>
      </c>
      <c r="R572" s="24">
        <v>200</v>
      </c>
      <c r="S572" s="24">
        <v>10</v>
      </c>
      <c r="T572" s="24">
        <f t="shared" ca="1" si="116"/>
        <v>900</v>
      </c>
    </row>
    <row r="573" spans="1:20" x14ac:dyDescent="0.45">
      <c r="A573" s="11">
        <v>560</v>
      </c>
      <c r="B573" s="11">
        <f t="shared" ca="1" si="104"/>
        <v>0.44897647532978457</v>
      </c>
      <c r="C573" s="11">
        <f t="shared" ca="1" si="105"/>
        <v>1200</v>
      </c>
      <c r="D573" s="11">
        <f t="shared" ca="1" si="106"/>
        <v>0.71463683060222771</v>
      </c>
      <c r="E573" s="11">
        <f t="shared" ca="1" si="107"/>
        <v>1500</v>
      </c>
      <c r="F573" s="11">
        <f t="shared" ca="1" si="108"/>
        <v>0.15610273729565494</v>
      </c>
      <c r="G573" s="11">
        <f t="shared" ca="1" si="109"/>
        <v>1100</v>
      </c>
      <c r="H573" s="11">
        <f t="shared" ca="1" si="110"/>
        <v>1100</v>
      </c>
      <c r="I573" s="11">
        <f t="shared" ca="1" si="111"/>
        <v>0.45479257204010692</v>
      </c>
      <c r="J573" s="11">
        <f t="shared" ca="1" si="112"/>
        <v>5</v>
      </c>
      <c r="K573" s="24">
        <v>96</v>
      </c>
      <c r="L573" s="24">
        <f t="shared" ca="1" si="113"/>
        <v>50</v>
      </c>
      <c r="M573" s="24">
        <v>400</v>
      </c>
      <c r="N573" s="24">
        <v>20</v>
      </c>
      <c r="O573" s="24">
        <f t="shared" ca="1" si="114"/>
        <v>566</v>
      </c>
      <c r="P573" s="24">
        <v>591</v>
      </c>
      <c r="Q573" s="11">
        <f t="shared" ca="1" si="115"/>
        <v>50</v>
      </c>
      <c r="R573" s="24">
        <v>200</v>
      </c>
      <c r="S573" s="24">
        <v>10</v>
      </c>
      <c r="T573" s="24">
        <f t="shared" ca="1" si="116"/>
        <v>851</v>
      </c>
    </row>
    <row r="574" spans="1:20" x14ac:dyDescent="0.45">
      <c r="A574" s="11">
        <v>561</v>
      </c>
      <c r="B574" s="11">
        <f t="shared" ca="1" si="104"/>
        <v>0.30076613067189617</v>
      </c>
      <c r="C574" s="11">
        <f t="shared" ca="1" si="105"/>
        <v>1200</v>
      </c>
      <c r="D574" s="11">
        <f t="shared" ca="1" si="106"/>
        <v>0.85338363842347986</v>
      </c>
      <c r="E574" s="11">
        <f t="shared" ca="1" si="107"/>
        <v>1700</v>
      </c>
      <c r="F574" s="11">
        <f t="shared" ca="1" si="108"/>
        <v>0.39132984099929524</v>
      </c>
      <c r="G574" s="11">
        <f t="shared" ca="1" si="109"/>
        <v>1200</v>
      </c>
      <c r="H574" s="11">
        <f t="shared" ca="1" si="110"/>
        <v>1200</v>
      </c>
      <c r="I574" s="11">
        <f t="shared" ca="1" si="111"/>
        <v>0.92935369915374844</v>
      </c>
      <c r="J574" s="11">
        <f t="shared" ca="1" si="112"/>
        <v>15</v>
      </c>
      <c r="K574" s="24">
        <v>96</v>
      </c>
      <c r="L574" s="24">
        <f t="shared" ca="1" si="113"/>
        <v>150</v>
      </c>
      <c r="M574" s="24">
        <v>400</v>
      </c>
      <c r="N574" s="24">
        <v>20</v>
      </c>
      <c r="O574" s="24">
        <f t="shared" ca="1" si="114"/>
        <v>666</v>
      </c>
      <c r="P574" s="24">
        <v>592</v>
      </c>
      <c r="Q574" s="11">
        <f t="shared" ca="1" si="115"/>
        <v>150</v>
      </c>
      <c r="R574" s="24">
        <v>200</v>
      </c>
      <c r="S574" s="24">
        <v>10</v>
      </c>
      <c r="T574" s="24">
        <f t="shared" ca="1" si="116"/>
        <v>952</v>
      </c>
    </row>
    <row r="575" spans="1:20" x14ac:dyDescent="0.45">
      <c r="A575" s="11">
        <v>562</v>
      </c>
      <c r="B575" s="11">
        <f t="shared" ca="1" si="104"/>
        <v>0.82906814547604912</v>
      </c>
      <c r="C575" s="11">
        <f t="shared" ca="1" si="105"/>
        <v>1600</v>
      </c>
      <c r="D575" s="11">
        <f t="shared" ca="1" si="106"/>
        <v>0.21301501320498828</v>
      </c>
      <c r="E575" s="11">
        <f t="shared" ca="1" si="107"/>
        <v>1100</v>
      </c>
      <c r="F575" s="11">
        <f t="shared" ca="1" si="108"/>
        <v>5.8626276802451138E-2</v>
      </c>
      <c r="G575" s="11">
        <f t="shared" ca="1" si="109"/>
        <v>1000</v>
      </c>
      <c r="H575" s="11">
        <f t="shared" ca="1" si="110"/>
        <v>1000</v>
      </c>
      <c r="I575" s="11">
        <f t="shared" ca="1" si="111"/>
        <v>0.13681243311186109</v>
      </c>
      <c r="J575" s="11">
        <f t="shared" ca="1" si="112"/>
        <v>5</v>
      </c>
      <c r="K575" s="24">
        <v>96</v>
      </c>
      <c r="L575" s="24">
        <f t="shared" ca="1" si="113"/>
        <v>50</v>
      </c>
      <c r="M575" s="24">
        <v>400</v>
      </c>
      <c r="N575" s="24">
        <v>20</v>
      </c>
      <c r="O575" s="24">
        <f t="shared" ca="1" si="114"/>
        <v>566</v>
      </c>
      <c r="P575" s="24">
        <v>593</v>
      </c>
      <c r="Q575" s="11">
        <f t="shared" ca="1" si="115"/>
        <v>50</v>
      </c>
      <c r="R575" s="24">
        <v>200</v>
      </c>
      <c r="S575" s="24">
        <v>10</v>
      </c>
      <c r="T575" s="24">
        <f t="shared" ca="1" si="116"/>
        <v>853</v>
      </c>
    </row>
    <row r="576" spans="1:20" x14ac:dyDescent="0.45">
      <c r="A576" s="11">
        <v>563</v>
      </c>
      <c r="B576" s="11">
        <f t="shared" ca="1" si="104"/>
        <v>0.77913633705066854</v>
      </c>
      <c r="C576" s="11">
        <f t="shared" ca="1" si="105"/>
        <v>1500</v>
      </c>
      <c r="D576" s="11">
        <f t="shared" ca="1" si="106"/>
        <v>0.81932676981858366</v>
      </c>
      <c r="E576" s="11">
        <f t="shared" ca="1" si="107"/>
        <v>1500</v>
      </c>
      <c r="F576" s="11">
        <f t="shared" ca="1" si="108"/>
        <v>0.41835721473630105</v>
      </c>
      <c r="G576" s="11">
        <f t="shared" ca="1" si="109"/>
        <v>1200</v>
      </c>
      <c r="H576" s="11">
        <f t="shared" ca="1" si="110"/>
        <v>1200</v>
      </c>
      <c r="I576" s="11">
        <f t="shared" ca="1" si="111"/>
        <v>9.4285032642912769E-2</v>
      </c>
      <c r="J576" s="11">
        <f t="shared" ca="1" si="112"/>
        <v>5</v>
      </c>
      <c r="K576" s="24">
        <v>96</v>
      </c>
      <c r="L576" s="24">
        <f t="shared" ca="1" si="113"/>
        <v>50</v>
      </c>
      <c r="M576" s="24">
        <v>400</v>
      </c>
      <c r="N576" s="24">
        <v>20</v>
      </c>
      <c r="O576" s="24">
        <f t="shared" ca="1" si="114"/>
        <v>566</v>
      </c>
      <c r="P576" s="24">
        <v>594</v>
      </c>
      <c r="Q576" s="11">
        <f t="shared" ca="1" si="115"/>
        <v>50</v>
      </c>
      <c r="R576" s="24">
        <v>200</v>
      </c>
      <c r="S576" s="24">
        <v>10</v>
      </c>
      <c r="T576" s="24">
        <f t="shared" ca="1" si="116"/>
        <v>854</v>
      </c>
    </row>
    <row r="577" spans="1:20" x14ac:dyDescent="0.45">
      <c r="A577" s="11">
        <v>564</v>
      </c>
      <c r="B577" s="11">
        <f t="shared" ca="1" si="104"/>
        <v>0.32245161405499601</v>
      </c>
      <c r="C577" s="11">
        <f t="shared" ca="1" si="105"/>
        <v>1200</v>
      </c>
      <c r="D577" s="11">
        <f t="shared" ca="1" si="106"/>
        <v>0.46258698060211967</v>
      </c>
      <c r="E577" s="11">
        <f t="shared" ca="1" si="107"/>
        <v>1200</v>
      </c>
      <c r="F577" s="11">
        <f t="shared" ca="1" si="108"/>
        <v>0.53211110307797782</v>
      </c>
      <c r="G577" s="11">
        <f t="shared" ca="1" si="109"/>
        <v>1300</v>
      </c>
      <c r="H577" s="11">
        <f t="shared" ca="1" si="110"/>
        <v>1200</v>
      </c>
      <c r="I577" s="11">
        <f t="shared" ca="1" si="111"/>
        <v>0.89194811924520256</v>
      </c>
      <c r="J577" s="11">
        <f t="shared" ca="1" si="112"/>
        <v>10</v>
      </c>
      <c r="K577" s="24">
        <v>96</v>
      </c>
      <c r="L577" s="24">
        <f t="shared" ca="1" si="113"/>
        <v>100</v>
      </c>
      <c r="M577" s="24">
        <v>400</v>
      </c>
      <c r="N577" s="24">
        <v>20</v>
      </c>
      <c r="O577" s="24">
        <f t="shared" ca="1" si="114"/>
        <v>616</v>
      </c>
      <c r="P577" s="24">
        <v>595</v>
      </c>
      <c r="Q577" s="11">
        <f t="shared" ca="1" si="115"/>
        <v>100</v>
      </c>
      <c r="R577" s="24">
        <v>200</v>
      </c>
      <c r="S577" s="24">
        <v>10</v>
      </c>
      <c r="T577" s="24">
        <f t="shared" ca="1" si="116"/>
        <v>905</v>
      </c>
    </row>
    <row r="578" spans="1:20" x14ac:dyDescent="0.45">
      <c r="A578" s="11">
        <v>565</v>
      </c>
      <c r="B578" s="11">
        <f t="shared" ca="1" si="104"/>
        <v>0.1804596363576263</v>
      </c>
      <c r="C578" s="11">
        <f t="shared" ca="1" si="105"/>
        <v>1100</v>
      </c>
      <c r="D578" s="11">
        <f t="shared" ca="1" si="106"/>
        <v>2.3307480658669499E-2</v>
      </c>
      <c r="E578" s="11">
        <f t="shared" ca="1" si="107"/>
        <v>1000</v>
      </c>
      <c r="F578" s="11">
        <f t="shared" ca="1" si="108"/>
        <v>0.22598836321285165</v>
      </c>
      <c r="G578" s="11">
        <f t="shared" ca="1" si="109"/>
        <v>1100</v>
      </c>
      <c r="H578" s="11">
        <f t="shared" ca="1" si="110"/>
        <v>1000</v>
      </c>
      <c r="I578" s="11">
        <f t="shared" ca="1" si="111"/>
        <v>0.90296573840213001</v>
      </c>
      <c r="J578" s="11">
        <f t="shared" ca="1" si="112"/>
        <v>15</v>
      </c>
      <c r="K578" s="24">
        <v>96</v>
      </c>
      <c r="L578" s="24">
        <f t="shared" ca="1" si="113"/>
        <v>150</v>
      </c>
      <c r="M578" s="24">
        <v>400</v>
      </c>
      <c r="N578" s="24">
        <v>20</v>
      </c>
      <c r="O578" s="24">
        <f t="shared" ca="1" si="114"/>
        <v>666</v>
      </c>
      <c r="P578" s="24">
        <v>596</v>
      </c>
      <c r="Q578" s="11">
        <f t="shared" ca="1" si="115"/>
        <v>150</v>
      </c>
      <c r="R578" s="24">
        <v>200</v>
      </c>
      <c r="S578" s="24">
        <v>10</v>
      </c>
      <c r="T578" s="24">
        <f t="shared" ca="1" si="116"/>
        <v>956</v>
      </c>
    </row>
    <row r="579" spans="1:20" x14ac:dyDescent="0.45">
      <c r="A579" s="11">
        <v>566</v>
      </c>
      <c r="B579" s="11">
        <f t="shared" ca="1" si="104"/>
        <v>0.79713540207189604</v>
      </c>
      <c r="C579" s="11">
        <f t="shared" ca="1" si="105"/>
        <v>1500</v>
      </c>
      <c r="D579" s="11">
        <f t="shared" ca="1" si="106"/>
        <v>0.66703331497595386</v>
      </c>
      <c r="E579" s="11">
        <f t="shared" ca="1" si="107"/>
        <v>1400</v>
      </c>
      <c r="F579" s="11">
        <f t="shared" ca="1" si="108"/>
        <v>0.22763045137737414</v>
      </c>
      <c r="G579" s="11">
        <f t="shared" ca="1" si="109"/>
        <v>1100</v>
      </c>
      <c r="H579" s="11">
        <f t="shared" ca="1" si="110"/>
        <v>1100</v>
      </c>
      <c r="I579" s="11">
        <f t="shared" ca="1" si="111"/>
        <v>0.51568724923489395</v>
      </c>
      <c r="J579" s="11">
        <f t="shared" ca="1" si="112"/>
        <v>5</v>
      </c>
      <c r="K579" s="24">
        <v>96</v>
      </c>
      <c r="L579" s="24">
        <f t="shared" ca="1" si="113"/>
        <v>50</v>
      </c>
      <c r="M579" s="24">
        <v>400</v>
      </c>
      <c r="N579" s="24">
        <v>20</v>
      </c>
      <c r="O579" s="24">
        <f t="shared" ca="1" si="114"/>
        <v>566</v>
      </c>
      <c r="P579" s="24">
        <v>597</v>
      </c>
      <c r="Q579" s="11">
        <f t="shared" ca="1" si="115"/>
        <v>50</v>
      </c>
      <c r="R579" s="24">
        <v>200</v>
      </c>
      <c r="S579" s="24">
        <v>10</v>
      </c>
      <c r="T579" s="24">
        <f t="shared" ca="1" si="116"/>
        <v>857</v>
      </c>
    </row>
    <row r="580" spans="1:20" x14ac:dyDescent="0.45">
      <c r="A580" s="11">
        <v>567</v>
      </c>
      <c r="B580" s="11">
        <f t="shared" ca="1" si="104"/>
        <v>0.12593850000020557</v>
      </c>
      <c r="C580" s="11">
        <f t="shared" ca="1" si="105"/>
        <v>1100</v>
      </c>
      <c r="D580" s="11">
        <f t="shared" ca="1" si="106"/>
        <v>0.88335753307526621</v>
      </c>
      <c r="E580" s="11">
        <f t="shared" ca="1" si="107"/>
        <v>1700</v>
      </c>
      <c r="F580" s="11">
        <f t="shared" ca="1" si="108"/>
        <v>0.701463981731696</v>
      </c>
      <c r="G580" s="11">
        <f t="shared" ca="1" si="109"/>
        <v>1500</v>
      </c>
      <c r="H580" s="11">
        <f t="shared" ca="1" si="110"/>
        <v>1100</v>
      </c>
      <c r="I580" s="11">
        <f t="shared" ca="1" si="111"/>
        <v>0.85323958205920514</v>
      </c>
      <c r="J580" s="11">
        <f t="shared" ca="1" si="112"/>
        <v>10</v>
      </c>
      <c r="K580" s="24">
        <v>96</v>
      </c>
      <c r="L580" s="24">
        <f t="shared" ca="1" si="113"/>
        <v>100</v>
      </c>
      <c r="M580" s="24">
        <v>400</v>
      </c>
      <c r="N580" s="24">
        <v>20</v>
      </c>
      <c r="O580" s="24">
        <f t="shared" ca="1" si="114"/>
        <v>616</v>
      </c>
      <c r="P580" s="24">
        <v>598</v>
      </c>
      <c r="Q580" s="11">
        <f t="shared" ca="1" si="115"/>
        <v>100</v>
      </c>
      <c r="R580" s="24">
        <v>200</v>
      </c>
      <c r="S580" s="24">
        <v>10</v>
      </c>
      <c r="T580" s="24">
        <f t="shared" ca="1" si="116"/>
        <v>908</v>
      </c>
    </row>
    <row r="581" spans="1:20" x14ac:dyDescent="0.45">
      <c r="A581" s="11">
        <v>568</v>
      </c>
      <c r="B581" s="11">
        <f t="shared" ca="1" si="104"/>
        <v>0.30730577867253417</v>
      </c>
      <c r="C581" s="11">
        <f t="shared" ca="1" si="105"/>
        <v>1200</v>
      </c>
      <c r="D581" s="11">
        <f t="shared" ca="1" si="106"/>
        <v>0.25426453883673306</v>
      </c>
      <c r="E581" s="11">
        <f t="shared" ca="1" si="107"/>
        <v>1200</v>
      </c>
      <c r="F581" s="11">
        <f t="shared" ca="1" si="108"/>
        <v>0.63228604159780444</v>
      </c>
      <c r="G581" s="11">
        <f t="shared" ca="1" si="109"/>
        <v>1400</v>
      </c>
      <c r="H581" s="11">
        <f t="shared" ca="1" si="110"/>
        <v>1200</v>
      </c>
      <c r="I581" s="11">
        <f t="shared" ca="1" si="111"/>
        <v>0.53443294845544409</v>
      </c>
      <c r="J581" s="11">
        <f t="shared" ca="1" si="112"/>
        <v>5</v>
      </c>
      <c r="K581" s="24">
        <v>96</v>
      </c>
      <c r="L581" s="24">
        <f t="shared" ca="1" si="113"/>
        <v>50</v>
      </c>
      <c r="M581" s="24">
        <v>400</v>
      </c>
      <c r="N581" s="24">
        <v>20</v>
      </c>
      <c r="O581" s="24">
        <f t="shared" ca="1" si="114"/>
        <v>566</v>
      </c>
      <c r="P581" s="24">
        <v>599</v>
      </c>
      <c r="Q581" s="11">
        <f t="shared" ca="1" si="115"/>
        <v>50</v>
      </c>
      <c r="R581" s="24">
        <v>200</v>
      </c>
      <c r="S581" s="24">
        <v>10</v>
      </c>
      <c r="T581" s="24">
        <f t="shared" ca="1" si="116"/>
        <v>859</v>
      </c>
    </row>
    <row r="582" spans="1:20" x14ac:dyDescent="0.45">
      <c r="A582" s="11">
        <v>569</v>
      </c>
      <c r="B582" s="11">
        <f t="shared" ca="1" si="104"/>
        <v>2.1797094819032359E-2</v>
      </c>
      <c r="C582" s="11">
        <f t="shared" ca="1" si="105"/>
        <v>1000</v>
      </c>
      <c r="D582" s="11">
        <f t="shared" ca="1" si="106"/>
        <v>0.81936240278028416</v>
      </c>
      <c r="E582" s="11">
        <f t="shared" ca="1" si="107"/>
        <v>1500</v>
      </c>
      <c r="F582" s="11">
        <f t="shared" ca="1" si="108"/>
        <v>0.19550685416659364</v>
      </c>
      <c r="G582" s="11">
        <f t="shared" ca="1" si="109"/>
        <v>1100</v>
      </c>
      <c r="H582" s="11">
        <f t="shared" ca="1" si="110"/>
        <v>1000</v>
      </c>
      <c r="I582" s="11">
        <f t="shared" ca="1" si="111"/>
        <v>0.74891198143703486</v>
      </c>
      <c r="J582" s="11">
        <f t="shared" ca="1" si="112"/>
        <v>10</v>
      </c>
      <c r="K582" s="24">
        <v>96</v>
      </c>
      <c r="L582" s="24">
        <f t="shared" ca="1" si="113"/>
        <v>100</v>
      </c>
      <c r="M582" s="24">
        <v>400</v>
      </c>
      <c r="N582" s="24">
        <v>20</v>
      </c>
      <c r="O582" s="24">
        <f t="shared" ca="1" si="114"/>
        <v>616</v>
      </c>
      <c r="P582" s="24">
        <v>600</v>
      </c>
      <c r="Q582" s="11">
        <f t="shared" ca="1" si="115"/>
        <v>100</v>
      </c>
      <c r="R582" s="24">
        <v>200</v>
      </c>
      <c r="S582" s="24">
        <v>10</v>
      </c>
      <c r="T582" s="24">
        <f t="shared" ca="1" si="116"/>
        <v>910</v>
      </c>
    </row>
    <row r="583" spans="1:20" x14ac:dyDescent="0.45">
      <c r="A583" s="11">
        <v>570</v>
      </c>
      <c r="B583" s="11">
        <f t="shared" ca="1" si="104"/>
        <v>0.36224525636286786</v>
      </c>
      <c r="C583" s="11">
        <f t="shared" ca="1" si="105"/>
        <v>1200</v>
      </c>
      <c r="D583" s="11">
        <f t="shared" ca="1" si="106"/>
        <v>0.71798479692977124</v>
      </c>
      <c r="E583" s="11">
        <f t="shared" ca="1" si="107"/>
        <v>1500</v>
      </c>
      <c r="F583" s="11">
        <f t="shared" ca="1" si="108"/>
        <v>0.242543944511323</v>
      </c>
      <c r="G583" s="11">
        <f t="shared" ca="1" si="109"/>
        <v>1200</v>
      </c>
      <c r="H583" s="11">
        <f t="shared" ca="1" si="110"/>
        <v>1200</v>
      </c>
      <c r="I583" s="11">
        <f t="shared" ca="1" si="111"/>
        <v>0.25282719956827926</v>
      </c>
      <c r="J583" s="11">
        <f t="shared" ca="1" si="112"/>
        <v>5</v>
      </c>
      <c r="K583" s="24">
        <v>96</v>
      </c>
      <c r="L583" s="24">
        <f t="shared" ca="1" si="113"/>
        <v>50</v>
      </c>
      <c r="M583" s="24">
        <v>400</v>
      </c>
      <c r="N583" s="24">
        <v>20</v>
      </c>
      <c r="O583" s="24">
        <f t="shared" ca="1" si="114"/>
        <v>566</v>
      </c>
      <c r="P583" s="24">
        <v>601</v>
      </c>
      <c r="Q583" s="11">
        <f t="shared" ca="1" si="115"/>
        <v>50</v>
      </c>
      <c r="R583" s="24">
        <v>200</v>
      </c>
      <c r="S583" s="24">
        <v>10</v>
      </c>
      <c r="T583" s="24">
        <f t="shared" ca="1" si="116"/>
        <v>861</v>
      </c>
    </row>
    <row r="584" spans="1:20" x14ac:dyDescent="0.45">
      <c r="A584" s="11">
        <v>571</v>
      </c>
      <c r="B584" s="11">
        <f t="shared" ca="1" si="104"/>
        <v>0.1617505141694674</v>
      </c>
      <c r="C584" s="11">
        <f t="shared" ca="1" si="105"/>
        <v>1100</v>
      </c>
      <c r="D584" s="11">
        <f t="shared" ca="1" si="106"/>
        <v>0.89212575792957338</v>
      </c>
      <c r="E584" s="11">
        <f t="shared" ca="1" si="107"/>
        <v>1700</v>
      </c>
      <c r="F584" s="11">
        <f t="shared" ca="1" si="108"/>
        <v>0.75392495196185816</v>
      </c>
      <c r="G584" s="11">
        <f t="shared" ca="1" si="109"/>
        <v>1500</v>
      </c>
      <c r="H584" s="11">
        <f t="shared" ca="1" si="110"/>
        <v>1100</v>
      </c>
      <c r="I584" s="11">
        <f t="shared" ca="1" si="111"/>
        <v>0.23743299469532597</v>
      </c>
      <c r="J584" s="11">
        <f t="shared" ca="1" si="112"/>
        <v>5</v>
      </c>
      <c r="K584" s="24">
        <v>96</v>
      </c>
      <c r="L584" s="24">
        <f t="shared" ca="1" si="113"/>
        <v>50</v>
      </c>
      <c r="M584" s="24">
        <v>400</v>
      </c>
      <c r="N584" s="24">
        <v>20</v>
      </c>
      <c r="O584" s="24">
        <f t="shared" ca="1" si="114"/>
        <v>566</v>
      </c>
      <c r="P584" s="24">
        <v>602</v>
      </c>
      <c r="Q584" s="11">
        <f t="shared" ca="1" si="115"/>
        <v>50</v>
      </c>
      <c r="R584" s="24">
        <v>200</v>
      </c>
      <c r="S584" s="24">
        <v>10</v>
      </c>
      <c r="T584" s="24">
        <f t="shared" ca="1" si="116"/>
        <v>862</v>
      </c>
    </row>
    <row r="585" spans="1:20" x14ac:dyDescent="0.45">
      <c r="A585" s="11">
        <v>572</v>
      </c>
      <c r="B585" s="11">
        <f t="shared" ca="1" si="104"/>
        <v>0.21793311033439333</v>
      </c>
      <c r="C585" s="11">
        <f t="shared" ca="1" si="105"/>
        <v>1100</v>
      </c>
      <c r="D585" s="11">
        <f t="shared" ca="1" si="106"/>
        <v>0.90680669289890647</v>
      </c>
      <c r="E585" s="11">
        <f t="shared" ca="1" si="107"/>
        <v>1800</v>
      </c>
      <c r="F585" s="11">
        <f t="shared" ca="1" si="108"/>
        <v>0.89568917893760758</v>
      </c>
      <c r="G585" s="11">
        <f t="shared" ca="1" si="109"/>
        <v>1700</v>
      </c>
      <c r="H585" s="11">
        <f t="shared" ca="1" si="110"/>
        <v>1100</v>
      </c>
      <c r="I585" s="11">
        <f t="shared" ca="1" si="111"/>
        <v>0.59593095987443456</v>
      </c>
      <c r="J585" s="11">
        <f t="shared" ca="1" si="112"/>
        <v>5</v>
      </c>
      <c r="K585" s="24">
        <v>96</v>
      </c>
      <c r="L585" s="24">
        <f t="shared" ca="1" si="113"/>
        <v>50</v>
      </c>
      <c r="M585" s="24">
        <v>400</v>
      </c>
      <c r="N585" s="24">
        <v>20</v>
      </c>
      <c r="O585" s="24">
        <f t="shared" ca="1" si="114"/>
        <v>566</v>
      </c>
      <c r="P585" s="24">
        <v>603</v>
      </c>
      <c r="Q585" s="11">
        <f t="shared" ca="1" si="115"/>
        <v>50</v>
      </c>
      <c r="R585" s="24">
        <v>200</v>
      </c>
      <c r="S585" s="24">
        <v>10</v>
      </c>
      <c r="T585" s="24">
        <f t="shared" ca="1" si="116"/>
        <v>863</v>
      </c>
    </row>
    <row r="586" spans="1:20" x14ac:dyDescent="0.45">
      <c r="A586" s="11">
        <v>573</v>
      </c>
      <c r="B586" s="11">
        <f t="shared" ca="1" si="104"/>
        <v>7.0941469878053054E-3</v>
      </c>
      <c r="C586" s="11">
        <f t="shared" ca="1" si="105"/>
        <v>1000</v>
      </c>
      <c r="D586" s="11">
        <f t="shared" ca="1" si="106"/>
        <v>0.88240230513402451</v>
      </c>
      <c r="E586" s="11">
        <f t="shared" ca="1" si="107"/>
        <v>1700</v>
      </c>
      <c r="F586" s="11">
        <f t="shared" ca="1" si="108"/>
        <v>0.6427435893006066</v>
      </c>
      <c r="G586" s="11">
        <f t="shared" ca="1" si="109"/>
        <v>1400</v>
      </c>
      <c r="H586" s="11">
        <f t="shared" ca="1" si="110"/>
        <v>1000</v>
      </c>
      <c r="I586" s="11">
        <f t="shared" ca="1" si="111"/>
        <v>0.94414105276118965</v>
      </c>
      <c r="J586" s="11">
        <f t="shared" ca="1" si="112"/>
        <v>15</v>
      </c>
      <c r="K586" s="24">
        <v>96</v>
      </c>
      <c r="L586" s="24">
        <f t="shared" ca="1" si="113"/>
        <v>150</v>
      </c>
      <c r="M586" s="24">
        <v>400</v>
      </c>
      <c r="N586" s="24">
        <v>20</v>
      </c>
      <c r="O586" s="24">
        <f t="shared" ca="1" si="114"/>
        <v>666</v>
      </c>
      <c r="P586" s="24">
        <v>604</v>
      </c>
      <c r="Q586" s="11">
        <f t="shared" ca="1" si="115"/>
        <v>150</v>
      </c>
      <c r="R586" s="24">
        <v>200</v>
      </c>
      <c r="S586" s="24">
        <v>10</v>
      </c>
      <c r="T586" s="24">
        <f t="shared" ca="1" si="116"/>
        <v>964</v>
      </c>
    </row>
    <row r="587" spans="1:20" x14ac:dyDescent="0.45">
      <c r="A587" s="11">
        <v>574</v>
      </c>
      <c r="B587" s="11">
        <f t="shared" ca="1" si="104"/>
        <v>0.23747155424790223</v>
      </c>
      <c r="C587" s="11">
        <f t="shared" ca="1" si="105"/>
        <v>1200</v>
      </c>
      <c r="D587" s="11">
        <f t="shared" ca="1" si="106"/>
        <v>0.72382391094640042</v>
      </c>
      <c r="E587" s="11">
        <f t="shared" ca="1" si="107"/>
        <v>1500</v>
      </c>
      <c r="F587" s="11">
        <f t="shared" ca="1" si="108"/>
        <v>0.86673422554046864</v>
      </c>
      <c r="G587" s="11">
        <f t="shared" ca="1" si="109"/>
        <v>1700</v>
      </c>
      <c r="H587" s="11">
        <f t="shared" ca="1" si="110"/>
        <v>1200</v>
      </c>
      <c r="I587" s="11">
        <f t="shared" ca="1" si="111"/>
        <v>0.29648171477821883</v>
      </c>
      <c r="J587" s="11">
        <f t="shared" ca="1" si="112"/>
        <v>5</v>
      </c>
      <c r="K587" s="24">
        <v>96</v>
      </c>
      <c r="L587" s="24">
        <f t="shared" ca="1" si="113"/>
        <v>50</v>
      </c>
      <c r="M587" s="24">
        <v>400</v>
      </c>
      <c r="N587" s="24">
        <v>20</v>
      </c>
      <c r="O587" s="24">
        <f t="shared" ca="1" si="114"/>
        <v>566</v>
      </c>
      <c r="P587" s="24">
        <v>605</v>
      </c>
      <c r="Q587" s="11">
        <f t="shared" ca="1" si="115"/>
        <v>50</v>
      </c>
      <c r="R587" s="24">
        <v>200</v>
      </c>
      <c r="S587" s="24">
        <v>10</v>
      </c>
      <c r="T587" s="24">
        <f t="shared" ca="1" si="116"/>
        <v>865</v>
      </c>
    </row>
    <row r="588" spans="1:20" x14ac:dyDescent="0.45">
      <c r="A588" s="11">
        <v>575</v>
      </c>
      <c r="B588" s="11">
        <f t="shared" ca="1" si="104"/>
        <v>0.96626004960793099</v>
      </c>
      <c r="C588" s="11">
        <f t="shared" ca="1" si="105"/>
        <v>1900</v>
      </c>
      <c r="D588" s="11">
        <f t="shared" ca="1" si="106"/>
        <v>0.5134114523810227</v>
      </c>
      <c r="E588" s="11">
        <f t="shared" ca="1" si="107"/>
        <v>1300</v>
      </c>
      <c r="F588" s="11">
        <f t="shared" ca="1" si="108"/>
        <v>0.34938998910558228</v>
      </c>
      <c r="G588" s="11">
        <f t="shared" ca="1" si="109"/>
        <v>1200</v>
      </c>
      <c r="H588" s="11">
        <f t="shared" ca="1" si="110"/>
        <v>1200</v>
      </c>
      <c r="I588" s="11">
        <f t="shared" ca="1" si="111"/>
        <v>0.92083815356326704</v>
      </c>
      <c r="J588" s="11">
        <f t="shared" ca="1" si="112"/>
        <v>15</v>
      </c>
      <c r="K588" s="24">
        <v>96</v>
      </c>
      <c r="L588" s="24">
        <f t="shared" ca="1" si="113"/>
        <v>150</v>
      </c>
      <c r="M588" s="24">
        <v>400</v>
      </c>
      <c r="N588" s="24">
        <v>20</v>
      </c>
      <c r="O588" s="24">
        <f t="shared" ca="1" si="114"/>
        <v>666</v>
      </c>
      <c r="P588" s="24">
        <v>606</v>
      </c>
      <c r="Q588" s="11">
        <f t="shared" ca="1" si="115"/>
        <v>150</v>
      </c>
      <c r="R588" s="24">
        <v>200</v>
      </c>
      <c r="S588" s="24">
        <v>10</v>
      </c>
      <c r="T588" s="24">
        <f t="shared" ca="1" si="116"/>
        <v>966</v>
      </c>
    </row>
    <row r="589" spans="1:20" x14ac:dyDescent="0.45">
      <c r="A589" s="11">
        <v>576</v>
      </c>
      <c r="B589" s="11">
        <f t="shared" ca="1" si="104"/>
        <v>0.44607409048425772</v>
      </c>
      <c r="C589" s="11">
        <f t="shared" ca="1" si="105"/>
        <v>1200</v>
      </c>
      <c r="D589" s="11">
        <f t="shared" ca="1" si="106"/>
        <v>0.39691524858307359</v>
      </c>
      <c r="E589" s="11">
        <f t="shared" ca="1" si="107"/>
        <v>1200</v>
      </c>
      <c r="F589" s="11">
        <f t="shared" ca="1" si="108"/>
        <v>6.9436472060392829E-2</v>
      </c>
      <c r="G589" s="11">
        <f t="shared" ca="1" si="109"/>
        <v>1000</v>
      </c>
      <c r="H589" s="11">
        <f t="shared" ca="1" si="110"/>
        <v>1000</v>
      </c>
      <c r="I589" s="11">
        <f t="shared" ca="1" si="111"/>
        <v>0.39058204508411465</v>
      </c>
      <c r="J589" s="11">
        <f t="shared" ca="1" si="112"/>
        <v>5</v>
      </c>
      <c r="K589" s="24">
        <v>96</v>
      </c>
      <c r="L589" s="24">
        <f t="shared" ca="1" si="113"/>
        <v>50</v>
      </c>
      <c r="M589" s="24">
        <v>400</v>
      </c>
      <c r="N589" s="24">
        <v>20</v>
      </c>
      <c r="O589" s="24">
        <f t="shared" ca="1" si="114"/>
        <v>566</v>
      </c>
      <c r="P589" s="24">
        <v>607</v>
      </c>
      <c r="Q589" s="11">
        <f t="shared" ca="1" si="115"/>
        <v>50</v>
      </c>
      <c r="R589" s="24">
        <v>200</v>
      </c>
      <c r="S589" s="24">
        <v>10</v>
      </c>
      <c r="T589" s="24">
        <f t="shared" ca="1" si="116"/>
        <v>867</v>
      </c>
    </row>
    <row r="590" spans="1:20" x14ac:dyDescent="0.45">
      <c r="A590" s="11">
        <v>577</v>
      </c>
      <c r="B590" s="11">
        <f t="shared" ca="1" si="104"/>
        <v>0.61352092947968084</v>
      </c>
      <c r="C590" s="11">
        <f t="shared" ca="1" si="105"/>
        <v>1400</v>
      </c>
      <c r="D590" s="11">
        <f t="shared" ca="1" si="106"/>
        <v>0.86744303717746551</v>
      </c>
      <c r="E590" s="11">
        <f t="shared" ca="1" si="107"/>
        <v>1700</v>
      </c>
      <c r="F590" s="11">
        <f t="shared" ca="1" si="108"/>
        <v>0.99711146323209221</v>
      </c>
      <c r="G590" s="11">
        <f t="shared" ca="1" si="109"/>
        <v>1900</v>
      </c>
      <c r="H590" s="11">
        <f t="shared" ca="1" si="110"/>
        <v>1400</v>
      </c>
      <c r="I590" s="11">
        <f t="shared" ca="1" si="111"/>
        <v>7.996266169025823E-3</v>
      </c>
      <c r="J590" s="11">
        <f t="shared" ca="1" si="112"/>
        <v>5</v>
      </c>
      <c r="K590" s="24">
        <v>96</v>
      </c>
      <c r="L590" s="24">
        <f t="shared" ca="1" si="113"/>
        <v>50</v>
      </c>
      <c r="M590" s="24">
        <v>400</v>
      </c>
      <c r="N590" s="24">
        <v>20</v>
      </c>
      <c r="O590" s="24">
        <f t="shared" ca="1" si="114"/>
        <v>566</v>
      </c>
      <c r="P590" s="24">
        <v>608</v>
      </c>
      <c r="Q590" s="11">
        <f t="shared" ca="1" si="115"/>
        <v>50</v>
      </c>
      <c r="R590" s="24">
        <v>200</v>
      </c>
      <c r="S590" s="24">
        <v>10</v>
      </c>
      <c r="T590" s="24">
        <f t="shared" ca="1" si="116"/>
        <v>868</v>
      </c>
    </row>
    <row r="591" spans="1:20" x14ac:dyDescent="0.45">
      <c r="A591" s="11">
        <v>578</v>
      </c>
      <c r="B591" s="11">
        <f t="shared" ref="B591:B654" ca="1" si="117">RAND()</f>
        <v>9.7749479991917854E-2</v>
      </c>
      <c r="C591" s="11">
        <f t="shared" ref="C591:C654" ca="1" si="118">LOOKUP(B591, $C$2:$C$11, $A$2:$A$11)</f>
        <v>1000</v>
      </c>
      <c r="D591" s="11">
        <f t="shared" ref="D591:D654" ca="1" si="119">RAND()</f>
        <v>0.48404672588338815</v>
      </c>
      <c r="E591" s="11">
        <f t="shared" ref="E591:E654" ca="1" si="120">LOOKUP(D591, $C$2:$C$11, $A$2:$A$11)</f>
        <v>1300</v>
      </c>
      <c r="F591" s="11">
        <f t="shared" ref="F591:F654" ca="1" si="121">RAND()</f>
        <v>4.4834622689147174E-3</v>
      </c>
      <c r="G591" s="11">
        <f t="shared" ref="G591:G654" ca="1" si="122">LOOKUP(F591, $C$2:$C$11, $A$2:$A$11)</f>
        <v>1000</v>
      </c>
      <c r="H591" s="11">
        <f t="shared" ref="H591:H654" ca="1" si="123">MIN(C591, E591, G591)</f>
        <v>1000</v>
      </c>
      <c r="I591" s="11">
        <f t="shared" ref="I591:I654" ca="1" si="124">RAND()</f>
        <v>0.71875875960384128</v>
      </c>
      <c r="J591" s="11">
        <f t="shared" ref="J591:J654" ca="1" si="125">LOOKUP(I591, $G$2:$G$4, $E$2:$E$4)</f>
        <v>10</v>
      </c>
      <c r="K591" s="24">
        <v>96</v>
      </c>
      <c r="L591" s="24">
        <f t="shared" ref="L591:L654" ca="1" si="126">J591*10</f>
        <v>100</v>
      </c>
      <c r="M591" s="24">
        <v>400</v>
      </c>
      <c r="N591" s="24">
        <v>20</v>
      </c>
      <c r="O591" s="24">
        <f t="shared" ref="O591:O654" ca="1" si="127">K591+L591+M591+N591</f>
        <v>616</v>
      </c>
      <c r="P591" s="24">
        <v>609</v>
      </c>
      <c r="Q591" s="11">
        <f t="shared" ref="Q591:Q654" ca="1" si="128">J591*10</f>
        <v>100</v>
      </c>
      <c r="R591" s="24">
        <v>200</v>
      </c>
      <c r="S591" s="24">
        <v>10</v>
      </c>
      <c r="T591" s="24">
        <f t="shared" ref="T591:T654" ca="1" si="129">SUM(P591:S591)</f>
        <v>919</v>
      </c>
    </row>
    <row r="592" spans="1:20" x14ac:dyDescent="0.45">
      <c r="A592" s="11">
        <v>579</v>
      </c>
      <c r="B592" s="11">
        <f t="shared" ca="1" si="117"/>
        <v>1.2178177414956526E-4</v>
      </c>
      <c r="C592" s="11">
        <f t="shared" ca="1" si="118"/>
        <v>1000</v>
      </c>
      <c r="D592" s="11">
        <f t="shared" ca="1" si="119"/>
        <v>0.59193093963643639</v>
      </c>
      <c r="E592" s="11">
        <f t="shared" ca="1" si="120"/>
        <v>1300</v>
      </c>
      <c r="F592" s="11">
        <f t="shared" ca="1" si="121"/>
        <v>0.84617690036748294</v>
      </c>
      <c r="G592" s="11">
        <f t="shared" ca="1" si="122"/>
        <v>1700</v>
      </c>
      <c r="H592" s="11">
        <f t="shared" ca="1" si="123"/>
        <v>1000</v>
      </c>
      <c r="I592" s="11">
        <f t="shared" ca="1" si="124"/>
        <v>0.32668702049473486</v>
      </c>
      <c r="J592" s="11">
        <f t="shared" ca="1" si="125"/>
        <v>5</v>
      </c>
      <c r="K592" s="24">
        <v>96</v>
      </c>
      <c r="L592" s="24">
        <f t="shared" ca="1" si="126"/>
        <v>50</v>
      </c>
      <c r="M592" s="24">
        <v>400</v>
      </c>
      <c r="N592" s="24">
        <v>20</v>
      </c>
      <c r="O592" s="24">
        <f t="shared" ca="1" si="127"/>
        <v>566</v>
      </c>
      <c r="P592" s="24">
        <v>610</v>
      </c>
      <c r="Q592" s="11">
        <f t="shared" ca="1" si="128"/>
        <v>50</v>
      </c>
      <c r="R592" s="24">
        <v>200</v>
      </c>
      <c r="S592" s="24">
        <v>10</v>
      </c>
      <c r="T592" s="24">
        <f t="shared" ca="1" si="129"/>
        <v>870</v>
      </c>
    </row>
    <row r="593" spans="1:20" x14ac:dyDescent="0.45">
      <c r="A593" s="11">
        <v>580</v>
      </c>
      <c r="B593" s="11">
        <f t="shared" ca="1" si="117"/>
        <v>0.46059256751330824</v>
      </c>
      <c r="C593" s="11">
        <f t="shared" ca="1" si="118"/>
        <v>1200</v>
      </c>
      <c r="D593" s="11">
        <f t="shared" ca="1" si="119"/>
        <v>0.89425233724571962</v>
      </c>
      <c r="E593" s="11">
        <f t="shared" ca="1" si="120"/>
        <v>1700</v>
      </c>
      <c r="F593" s="11">
        <f t="shared" ca="1" si="121"/>
        <v>0.77270190251164961</v>
      </c>
      <c r="G593" s="11">
        <f t="shared" ca="1" si="122"/>
        <v>1500</v>
      </c>
      <c r="H593" s="11">
        <f t="shared" ca="1" si="123"/>
        <v>1200</v>
      </c>
      <c r="I593" s="11">
        <f t="shared" ca="1" si="124"/>
        <v>0.23986163374698022</v>
      </c>
      <c r="J593" s="11">
        <f t="shared" ca="1" si="125"/>
        <v>5</v>
      </c>
      <c r="K593" s="24">
        <v>96</v>
      </c>
      <c r="L593" s="24">
        <f t="shared" ca="1" si="126"/>
        <v>50</v>
      </c>
      <c r="M593" s="24">
        <v>400</v>
      </c>
      <c r="N593" s="24">
        <v>20</v>
      </c>
      <c r="O593" s="24">
        <f t="shared" ca="1" si="127"/>
        <v>566</v>
      </c>
      <c r="P593" s="24">
        <v>611</v>
      </c>
      <c r="Q593" s="11">
        <f t="shared" ca="1" si="128"/>
        <v>50</v>
      </c>
      <c r="R593" s="24">
        <v>200</v>
      </c>
      <c r="S593" s="24">
        <v>10</v>
      </c>
      <c r="T593" s="24">
        <f t="shared" ca="1" si="129"/>
        <v>871</v>
      </c>
    </row>
    <row r="594" spans="1:20" x14ac:dyDescent="0.45">
      <c r="A594" s="11">
        <v>581</v>
      </c>
      <c r="B594" s="11">
        <f t="shared" ca="1" si="117"/>
        <v>0.70309691629235094</v>
      </c>
      <c r="C594" s="11">
        <f t="shared" ca="1" si="118"/>
        <v>1500</v>
      </c>
      <c r="D594" s="11">
        <f t="shared" ca="1" si="119"/>
        <v>0.26315459423307963</v>
      </c>
      <c r="E594" s="11">
        <f t="shared" ca="1" si="120"/>
        <v>1200</v>
      </c>
      <c r="F594" s="11">
        <f t="shared" ca="1" si="121"/>
        <v>0.33435740634565514</v>
      </c>
      <c r="G594" s="11">
        <f t="shared" ca="1" si="122"/>
        <v>1200</v>
      </c>
      <c r="H594" s="11">
        <f t="shared" ca="1" si="123"/>
        <v>1200</v>
      </c>
      <c r="I594" s="11">
        <f t="shared" ca="1" si="124"/>
        <v>0.67559574644142195</v>
      </c>
      <c r="J594" s="11">
        <f t="shared" ca="1" si="125"/>
        <v>10</v>
      </c>
      <c r="K594" s="24">
        <v>96</v>
      </c>
      <c r="L594" s="24">
        <f t="shared" ca="1" si="126"/>
        <v>100</v>
      </c>
      <c r="M594" s="24">
        <v>400</v>
      </c>
      <c r="N594" s="24">
        <v>20</v>
      </c>
      <c r="O594" s="24">
        <f t="shared" ca="1" si="127"/>
        <v>616</v>
      </c>
      <c r="P594" s="24">
        <v>612</v>
      </c>
      <c r="Q594" s="11">
        <f t="shared" ca="1" si="128"/>
        <v>100</v>
      </c>
      <c r="R594" s="24">
        <v>200</v>
      </c>
      <c r="S594" s="24">
        <v>10</v>
      </c>
      <c r="T594" s="24">
        <f t="shared" ca="1" si="129"/>
        <v>922</v>
      </c>
    </row>
    <row r="595" spans="1:20" x14ac:dyDescent="0.45">
      <c r="A595" s="11">
        <v>582</v>
      </c>
      <c r="B595" s="11">
        <f t="shared" ca="1" si="117"/>
        <v>0.37871456486291011</v>
      </c>
      <c r="C595" s="11">
        <f t="shared" ca="1" si="118"/>
        <v>1200</v>
      </c>
      <c r="D595" s="11">
        <f t="shared" ca="1" si="119"/>
        <v>0.50856741797295835</v>
      </c>
      <c r="E595" s="11">
        <f t="shared" ca="1" si="120"/>
        <v>1300</v>
      </c>
      <c r="F595" s="11">
        <f t="shared" ca="1" si="121"/>
        <v>0.77224105197836235</v>
      </c>
      <c r="G595" s="11">
        <f t="shared" ca="1" si="122"/>
        <v>1500</v>
      </c>
      <c r="H595" s="11">
        <f t="shared" ca="1" si="123"/>
        <v>1200</v>
      </c>
      <c r="I595" s="11">
        <f t="shared" ca="1" si="124"/>
        <v>0.16540929659403369</v>
      </c>
      <c r="J595" s="11">
        <f t="shared" ca="1" si="125"/>
        <v>5</v>
      </c>
      <c r="K595" s="24">
        <v>96</v>
      </c>
      <c r="L595" s="24">
        <f t="shared" ca="1" si="126"/>
        <v>50</v>
      </c>
      <c r="M595" s="24">
        <v>400</v>
      </c>
      <c r="N595" s="24">
        <v>20</v>
      </c>
      <c r="O595" s="24">
        <f t="shared" ca="1" si="127"/>
        <v>566</v>
      </c>
      <c r="P595" s="24">
        <v>613</v>
      </c>
      <c r="Q595" s="11">
        <f t="shared" ca="1" si="128"/>
        <v>50</v>
      </c>
      <c r="R595" s="24">
        <v>200</v>
      </c>
      <c r="S595" s="24">
        <v>10</v>
      </c>
      <c r="T595" s="24">
        <f t="shared" ca="1" si="129"/>
        <v>873</v>
      </c>
    </row>
    <row r="596" spans="1:20" x14ac:dyDescent="0.45">
      <c r="A596" s="11">
        <v>583</v>
      </c>
      <c r="B596" s="11">
        <f t="shared" ca="1" si="117"/>
        <v>0.29002785044281509</v>
      </c>
      <c r="C596" s="11">
        <f t="shared" ca="1" si="118"/>
        <v>1200</v>
      </c>
      <c r="D596" s="11">
        <f t="shared" ca="1" si="119"/>
        <v>9.3348801533283954E-2</v>
      </c>
      <c r="E596" s="11">
        <f t="shared" ca="1" si="120"/>
        <v>1000</v>
      </c>
      <c r="F596" s="11">
        <f t="shared" ca="1" si="121"/>
        <v>1.3374587086207534E-2</v>
      </c>
      <c r="G596" s="11">
        <f t="shared" ca="1" si="122"/>
        <v>1000</v>
      </c>
      <c r="H596" s="11">
        <f t="shared" ca="1" si="123"/>
        <v>1000</v>
      </c>
      <c r="I596" s="11">
        <f t="shared" ca="1" si="124"/>
        <v>8.5414752772478786E-2</v>
      </c>
      <c r="J596" s="11">
        <f t="shared" ca="1" si="125"/>
        <v>5</v>
      </c>
      <c r="K596" s="24">
        <v>96</v>
      </c>
      <c r="L596" s="24">
        <f t="shared" ca="1" si="126"/>
        <v>50</v>
      </c>
      <c r="M596" s="24">
        <v>400</v>
      </c>
      <c r="N596" s="24">
        <v>20</v>
      </c>
      <c r="O596" s="24">
        <f t="shared" ca="1" si="127"/>
        <v>566</v>
      </c>
      <c r="P596" s="24">
        <v>614</v>
      </c>
      <c r="Q596" s="11">
        <f t="shared" ca="1" si="128"/>
        <v>50</v>
      </c>
      <c r="R596" s="24">
        <v>200</v>
      </c>
      <c r="S596" s="24">
        <v>10</v>
      </c>
      <c r="T596" s="24">
        <f t="shared" ca="1" si="129"/>
        <v>874</v>
      </c>
    </row>
    <row r="597" spans="1:20" x14ac:dyDescent="0.45">
      <c r="A597" s="11">
        <v>584</v>
      </c>
      <c r="B597" s="11">
        <f t="shared" ca="1" si="117"/>
        <v>0.48757122744095016</v>
      </c>
      <c r="C597" s="11">
        <f t="shared" ca="1" si="118"/>
        <v>1300</v>
      </c>
      <c r="D597" s="11">
        <f t="shared" ca="1" si="119"/>
        <v>0.49741538084021819</v>
      </c>
      <c r="E597" s="11">
        <f t="shared" ca="1" si="120"/>
        <v>1300</v>
      </c>
      <c r="F597" s="11">
        <f t="shared" ca="1" si="121"/>
        <v>0.56991272254425474</v>
      </c>
      <c r="G597" s="11">
        <f t="shared" ca="1" si="122"/>
        <v>1300</v>
      </c>
      <c r="H597" s="11">
        <f t="shared" ca="1" si="123"/>
        <v>1300</v>
      </c>
      <c r="I597" s="11">
        <f t="shared" ca="1" si="124"/>
        <v>0.40814822041561571</v>
      </c>
      <c r="J597" s="11">
        <f t="shared" ca="1" si="125"/>
        <v>5</v>
      </c>
      <c r="K597" s="24">
        <v>96</v>
      </c>
      <c r="L597" s="24">
        <f t="shared" ca="1" si="126"/>
        <v>50</v>
      </c>
      <c r="M597" s="24">
        <v>400</v>
      </c>
      <c r="N597" s="24">
        <v>20</v>
      </c>
      <c r="O597" s="24">
        <f t="shared" ca="1" si="127"/>
        <v>566</v>
      </c>
      <c r="P597" s="24">
        <v>615</v>
      </c>
      <c r="Q597" s="11">
        <f t="shared" ca="1" si="128"/>
        <v>50</v>
      </c>
      <c r="R597" s="24">
        <v>200</v>
      </c>
      <c r="S597" s="24">
        <v>10</v>
      </c>
      <c r="T597" s="24">
        <f t="shared" ca="1" si="129"/>
        <v>875</v>
      </c>
    </row>
    <row r="598" spans="1:20" x14ac:dyDescent="0.45">
      <c r="A598" s="11">
        <v>585</v>
      </c>
      <c r="B598" s="11">
        <f t="shared" ca="1" si="117"/>
        <v>0.23997081560502032</v>
      </c>
      <c r="C598" s="11">
        <f t="shared" ca="1" si="118"/>
        <v>1200</v>
      </c>
      <c r="D598" s="11">
        <f t="shared" ca="1" si="119"/>
        <v>0.86647956629659451</v>
      </c>
      <c r="E598" s="11">
        <f t="shared" ca="1" si="120"/>
        <v>1700</v>
      </c>
      <c r="F598" s="11">
        <f t="shared" ca="1" si="121"/>
        <v>0.76389261967414746</v>
      </c>
      <c r="G598" s="11">
        <f t="shared" ca="1" si="122"/>
        <v>1500</v>
      </c>
      <c r="H598" s="11">
        <f t="shared" ca="1" si="123"/>
        <v>1200</v>
      </c>
      <c r="I598" s="11">
        <f t="shared" ca="1" si="124"/>
        <v>0.93340895764357446</v>
      </c>
      <c r="J598" s="11">
        <f t="shared" ca="1" si="125"/>
        <v>15</v>
      </c>
      <c r="K598" s="24">
        <v>96</v>
      </c>
      <c r="L598" s="24">
        <f t="shared" ca="1" si="126"/>
        <v>150</v>
      </c>
      <c r="M598" s="24">
        <v>400</v>
      </c>
      <c r="N598" s="24">
        <v>20</v>
      </c>
      <c r="O598" s="24">
        <f t="shared" ca="1" si="127"/>
        <v>666</v>
      </c>
      <c r="P598" s="24">
        <v>616</v>
      </c>
      <c r="Q598" s="11">
        <f t="shared" ca="1" si="128"/>
        <v>150</v>
      </c>
      <c r="R598" s="24">
        <v>200</v>
      </c>
      <c r="S598" s="24">
        <v>10</v>
      </c>
      <c r="T598" s="24">
        <f t="shared" ca="1" si="129"/>
        <v>976</v>
      </c>
    </row>
    <row r="599" spans="1:20" x14ac:dyDescent="0.45">
      <c r="A599" s="11">
        <v>586</v>
      </c>
      <c r="B599" s="11">
        <f t="shared" ca="1" si="117"/>
        <v>0.61567724600696172</v>
      </c>
      <c r="C599" s="11">
        <f t="shared" ca="1" si="118"/>
        <v>1400</v>
      </c>
      <c r="D599" s="11">
        <f t="shared" ca="1" si="119"/>
        <v>6.0140517142335925E-2</v>
      </c>
      <c r="E599" s="11">
        <f t="shared" ca="1" si="120"/>
        <v>1000</v>
      </c>
      <c r="F599" s="11">
        <f t="shared" ca="1" si="121"/>
        <v>0.15090525036377656</v>
      </c>
      <c r="G599" s="11">
        <f t="shared" ca="1" si="122"/>
        <v>1100</v>
      </c>
      <c r="H599" s="11">
        <f t="shared" ca="1" si="123"/>
        <v>1000</v>
      </c>
      <c r="I599" s="11">
        <f t="shared" ca="1" si="124"/>
        <v>0.690708700806</v>
      </c>
      <c r="J599" s="11">
        <f t="shared" ca="1" si="125"/>
        <v>10</v>
      </c>
      <c r="K599" s="24">
        <v>96</v>
      </c>
      <c r="L599" s="24">
        <f t="shared" ca="1" si="126"/>
        <v>100</v>
      </c>
      <c r="M599" s="24">
        <v>400</v>
      </c>
      <c r="N599" s="24">
        <v>20</v>
      </c>
      <c r="O599" s="24">
        <f t="shared" ca="1" si="127"/>
        <v>616</v>
      </c>
      <c r="P599" s="24">
        <v>617</v>
      </c>
      <c r="Q599" s="11">
        <f t="shared" ca="1" si="128"/>
        <v>100</v>
      </c>
      <c r="R599" s="24">
        <v>200</v>
      </c>
      <c r="S599" s="24">
        <v>10</v>
      </c>
      <c r="T599" s="24">
        <f t="shared" ca="1" si="129"/>
        <v>927</v>
      </c>
    </row>
    <row r="600" spans="1:20" x14ac:dyDescent="0.45">
      <c r="A600" s="11">
        <v>587</v>
      </c>
      <c r="B600" s="11">
        <f t="shared" ca="1" si="117"/>
        <v>0.22848783181676746</v>
      </c>
      <c r="C600" s="11">
        <f t="shared" ca="1" si="118"/>
        <v>1100</v>
      </c>
      <c r="D600" s="11">
        <f t="shared" ca="1" si="119"/>
        <v>0.92212056699413503</v>
      </c>
      <c r="E600" s="11">
        <f t="shared" ca="1" si="120"/>
        <v>1800</v>
      </c>
      <c r="F600" s="11">
        <f t="shared" ca="1" si="121"/>
        <v>0.14528222630703058</v>
      </c>
      <c r="G600" s="11">
        <f t="shared" ca="1" si="122"/>
        <v>1100</v>
      </c>
      <c r="H600" s="11">
        <f t="shared" ca="1" si="123"/>
        <v>1100</v>
      </c>
      <c r="I600" s="11">
        <f t="shared" ca="1" si="124"/>
        <v>0.85489064437000195</v>
      </c>
      <c r="J600" s="11">
        <f t="shared" ca="1" si="125"/>
        <v>10</v>
      </c>
      <c r="K600" s="24">
        <v>96</v>
      </c>
      <c r="L600" s="24">
        <f t="shared" ca="1" si="126"/>
        <v>100</v>
      </c>
      <c r="M600" s="24">
        <v>400</v>
      </c>
      <c r="N600" s="24">
        <v>20</v>
      </c>
      <c r="O600" s="24">
        <f t="shared" ca="1" si="127"/>
        <v>616</v>
      </c>
      <c r="P600" s="24">
        <v>618</v>
      </c>
      <c r="Q600" s="11">
        <f t="shared" ca="1" si="128"/>
        <v>100</v>
      </c>
      <c r="R600" s="24">
        <v>200</v>
      </c>
      <c r="S600" s="24">
        <v>10</v>
      </c>
      <c r="T600" s="24">
        <f t="shared" ca="1" si="129"/>
        <v>928</v>
      </c>
    </row>
    <row r="601" spans="1:20" x14ac:dyDescent="0.45">
      <c r="A601" s="11">
        <v>588</v>
      </c>
      <c r="B601" s="11">
        <f t="shared" ca="1" si="117"/>
        <v>0.74191782309637921</v>
      </c>
      <c r="C601" s="11">
        <f t="shared" ca="1" si="118"/>
        <v>1500</v>
      </c>
      <c r="D601" s="11">
        <f t="shared" ca="1" si="119"/>
        <v>0.66970935847289093</v>
      </c>
      <c r="E601" s="11">
        <f t="shared" ca="1" si="120"/>
        <v>1400</v>
      </c>
      <c r="F601" s="11">
        <f t="shared" ca="1" si="121"/>
        <v>0.50038845502914242</v>
      </c>
      <c r="G601" s="11">
        <f t="shared" ca="1" si="122"/>
        <v>1300</v>
      </c>
      <c r="H601" s="11">
        <f t="shared" ca="1" si="123"/>
        <v>1300</v>
      </c>
      <c r="I601" s="11">
        <f t="shared" ca="1" si="124"/>
        <v>0.4424798300665983</v>
      </c>
      <c r="J601" s="11">
        <f t="shared" ca="1" si="125"/>
        <v>5</v>
      </c>
      <c r="K601" s="24">
        <v>96</v>
      </c>
      <c r="L601" s="24">
        <f t="shared" ca="1" si="126"/>
        <v>50</v>
      </c>
      <c r="M601" s="24">
        <v>400</v>
      </c>
      <c r="N601" s="24">
        <v>20</v>
      </c>
      <c r="O601" s="24">
        <f t="shared" ca="1" si="127"/>
        <v>566</v>
      </c>
      <c r="P601" s="24">
        <v>619</v>
      </c>
      <c r="Q601" s="11">
        <f t="shared" ca="1" si="128"/>
        <v>50</v>
      </c>
      <c r="R601" s="24">
        <v>200</v>
      </c>
      <c r="S601" s="24">
        <v>10</v>
      </c>
      <c r="T601" s="24">
        <f t="shared" ca="1" si="129"/>
        <v>879</v>
      </c>
    </row>
    <row r="602" spans="1:20" x14ac:dyDescent="0.45">
      <c r="A602" s="11">
        <v>589</v>
      </c>
      <c r="B602" s="11">
        <f t="shared" ca="1" si="117"/>
        <v>0.227200665591759</v>
      </c>
      <c r="C602" s="11">
        <f t="shared" ca="1" si="118"/>
        <v>1100</v>
      </c>
      <c r="D602" s="11">
        <f t="shared" ca="1" si="119"/>
        <v>0.19051925054303553</v>
      </c>
      <c r="E602" s="11">
        <f t="shared" ca="1" si="120"/>
        <v>1100</v>
      </c>
      <c r="F602" s="11">
        <f t="shared" ca="1" si="121"/>
        <v>0.31578677788441967</v>
      </c>
      <c r="G602" s="11">
        <f t="shared" ca="1" si="122"/>
        <v>1200</v>
      </c>
      <c r="H602" s="11">
        <f t="shared" ca="1" si="123"/>
        <v>1100</v>
      </c>
      <c r="I602" s="11">
        <f t="shared" ca="1" si="124"/>
        <v>0.69882476446924413</v>
      </c>
      <c r="J602" s="11">
        <f t="shared" ca="1" si="125"/>
        <v>10</v>
      </c>
      <c r="K602" s="24">
        <v>96</v>
      </c>
      <c r="L602" s="24">
        <f t="shared" ca="1" si="126"/>
        <v>100</v>
      </c>
      <c r="M602" s="24">
        <v>400</v>
      </c>
      <c r="N602" s="24">
        <v>20</v>
      </c>
      <c r="O602" s="24">
        <f t="shared" ca="1" si="127"/>
        <v>616</v>
      </c>
      <c r="P602" s="24">
        <v>620</v>
      </c>
      <c r="Q602" s="11">
        <f t="shared" ca="1" si="128"/>
        <v>100</v>
      </c>
      <c r="R602" s="24">
        <v>200</v>
      </c>
      <c r="S602" s="24">
        <v>10</v>
      </c>
      <c r="T602" s="24">
        <f t="shared" ca="1" si="129"/>
        <v>930</v>
      </c>
    </row>
    <row r="603" spans="1:20" x14ac:dyDescent="0.45">
      <c r="A603" s="11">
        <v>590</v>
      </c>
      <c r="B603" s="11">
        <f t="shared" ca="1" si="117"/>
        <v>9.6381818911623895E-3</v>
      </c>
      <c r="C603" s="11">
        <f t="shared" ca="1" si="118"/>
        <v>1000</v>
      </c>
      <c r="D603" s="11">
        <f t="shared" ca="1" si="119"/>
        <v>0.75557870961321516</v>
      </c>
      <c r="E603" s="11">
        <f t="shared" ca="1" si="120"/>
        <v>1500</v>
      </c>
      <c r="F603" s="11">
        <f t="shared" ca="1" si="121"/>
        <v>0.26955787249264018</v>
      </c>
      <c r="G603" s="11">
        <f t="shared" ca="1" si="122"/>
        <v>1200</v>
      </c>
      <c r="H603" s="11">
        <f t="shared" ca="1" si="123"/>
        <v>1000</v>
      </c>
      <c r="I603" s="11">
        <f t="shared" ca="1" si="124"/>
        <v>0.96774732140065955</v>
      </c>
      <c r="J603" s="11">
        <f t="shared" ca="1" si="125"/>
        <v>15</v>
      </c>
      <c r="K603" s="24">
        <v>96</v>
      </c>
      <c r="L603" s="24">
        <f t="shared" ca="1" si="126"/>
        <v>150</v>
      </c>
      <c r="M603" s="24">
        <v>400</v>
      </c>
      <c r="N603" s="24">
        <v>20</v>
      </c>
      <c r="O603" s="24">
        <f t="shared" ca="1" si="127"/>
        <v>666</v>
      </c>
      <c r="P603" s="24">
        <v>621</v>
      </c>
      <c r="Q603" s="11">
        <f t="shared" ca="1" si="128"/>
        <v>150</v>
      </c>
      <c r="R603" s="24">
        <v>200</v>
      </c>
      <c r="S603" s="24">
        <v>10</v>
      </c>
      <c r="T603" s="24">
        <f t="shared" ca="1" si="129"/>
        <v>981</v>
      </c>
    </row>
    <row r="604" spans="1:20" x14ac:dyDescent="0.45">
      <c r="A604" s="11">
        <v>591</v>
      </c>
      <c r="B604" s="11">
        <f t="shared" ca="1" si="117"/>
        <v>0.30855657106818657</v>
      </c>
      <c r="C604" s="11">
        <f t="shared" ca="1" si="118"/>
        <v>1200</v>
      </c>
      <c r="D604" s="11">
        <f t="shared" ca="1" si="119"/>
        <v>0.57459329383507229</v>
      </c>
      <c r="E604" s="11">
        <f t="shared" ca="1" si="120"/>
        <v>1300</v>
      </c>
      <c r="F604" s="11">
        <f t="shared" ca="1" si="121"/>
        <v>0.54912173630155148</v>
      </c>
      <c r="G604" s="11">
        <f t="shared" ca="1" si="122"/>
        <v>1300</v>
      </c>
      <c r="H604" s="11">
        <f t="shared" ca="1" si="123"/>
        <v>1200</v>
      </c>
      <c r="I604" s="11">
        <f t="shared" ca="1" si="124"/>
        <v>0.49655450399332779</v>
      </c>
      <c r="J604" s="11">
        <f t="shared" ca="1" si="125"/>
        <v>5</v>
      </c>
      <c r="K604" s="24">
        <v>96</v>
      </c>
      <c r="L604" s="24">
        <f t="shared" ca="1" si="126"/>
        <v>50</v>
      </c>
      <c r="M604" s="24">
        <v>400</v>
      </c>
      <c r="N604" s="24">
        <v>20</v>
      </c>
      <c r="O604" s="24">
        <f t="shared" ca="1" si="127"/>
        <v>566</v>
      </c>
      <c r="P604" s="24">
        <v>622</v>
      </c>
      <c r="Q604" s="11">
        <f t="shared" ca="1" si="128"/>
        <v>50</v>
      </c>
      <c r="R604" s="24">
        <v>200</v>
      </c>
      <c r="S604" s="24">
        <v>10</v>
      </c>
      <c r="T604" s="24">
        <f t="shared" ca="1" si="129"/>
        <v>882</v>
      </c>
    </row>
    <row r="605" spans="1:20" x14ac:dyDescent="0.45">
      <c r="A605" s="11">
        <v>592</v>
      </c>
      <c r="B605" s="11">
        <f t="shared" ca="1" si="117"/>
        <v>0.61847580558083515</v>
      </c>
      <c r="C605" s="11">
        <f t="shared" ca="1" si="118"/>
        <v>1400</v>
      </c>
      <c r="D605" s="11">
        <f t="shared" ca="1" si="119"/>
        <v>0.30680039010929683</v>
      </c>
      <c r="E605" s="11">
        <f t="shared" ca="1" si="120"/>
        <v>1200</v>
      </c>
      <c r="F605" s="11">
        <f t="shared" ca="1" si="121"/>
        <v>0.96899139404573931</v>
      </c>
      <c r="G605" s="11">
        <f t="shared" ca="1" si="122"/>
        <v>1900</v>
      </c>
      <c r="H605" s="11">
        <f t="shared" ca="1" si="123"/>
        <v>1200</v>
      </c>
      <c r="I605" s="11">
        <f t="shared" ca="1" si="124"/>
        <v>0.15102552323032103</v>
      </c>
      <c r="J605" s="11">
        <f t="shared" ca="1" si="125"/>
        <v>5</v>
      </c>
      <c r="K605" s="24">
        <v>96</v>
      </c>
      <c r="L605" s="24">
        <f t="shared" ca="1" si="126"/>
        <v>50</v>
      </c>
      <c r="M605" s="24">
        <v>400</v>
      </c>
      <c r="N605" s="24">
        <v>20</v>
      </c>
      <c r="O605" s="24">
        <f t="shared" ca="1" si="127"/>
        <v>566</v>
      </c>
      <c r="P605" s="24">
        <v>623</v>
      </c>
      <c r="Q605" s="11">
        <f t="shared" ca="1" si="128"/>
        <v>50</v>
      </c>
      <c r="R605" s="24">
        <v>200</v>
      </c>
      <c r="S605" s="24">
        <v>10</v>
      </c>
      <c r="T605" s="24">
        <f t="shared" ca="1" si="129"/>
        <v>883</v>
      </c>
    </row>
    <row r="606" spans="1:20" x14ac:dyDescent="0.45">
      <c r="A606" s="11">
        <v>593</v>
      </c>
      <c r="B606" s="11">
        <f t="shared" ca="1" si="117"/>
        <v>0.99205463305819419</v>
      </c>
      <c r="C606" s="11">
        <f t="shared" ca="1" si="118"/>
        <v>1900</v>
      </c>
      <c r="D606" s="11">
        <f t="shared" ca="1" si="119"/>
        <v>9.4637930759373656E-2</v>
      </c>
      <c r="E606" s="11">
        <f t="shared" ca="1" si="120"/>
        <v>1000</v>
      </c>
      <c r="F606" s="11">
        <f t="shared" ca="1" si="121"/>
        <v>6.9865037275740338E-3</v>
      </c>
      <c r="G606" s="11">
        <f t="shared" ca="1" si="122"/>
        <v>1000</v>
      </c>
      <c r="H606" s="11">
        <f t="shared" ca="1" si="123"/>
        <v>1000</v>
      </c>
      <c r="I606" s="11">
        <f t="shared" ca="1" si="124"/>
        <v>0.99397074544041053</v>
      </c>
      <c r="J606" s="11">
        <f t="shared" ca="1" si="125"/>
        <v>15</v>
      </c>
      <c r="K606" s="24">
        <v>96</v>
      </c>
      <c r="L606" s="24">
        <f t="shared" ca="1" si="126"/>
        <v>150</v>
      </c>
      <c r="M606" s="24">
        <v>400</v>
      </c>
      <c r="N606" s="24">
        <v>20</v>
      </c>
      <c r="O606" s="24">
        <f t="shared" ca="1" si="127"/>
        <v>666</v>
      </c>
      <c r="P606" s="24">
        <v>624</v>
      </c>
      <c r="Q606" s="11">
        <f t="shared" ca="1" si="128"/>
        <v>150</v>
      </c>
      <c r="R606" s="24">
        <v>200</v>
      </c>
      <c r="S606" s="24">
        <v>10</v>
      </c>
      <c r="T606" s="24">
        <f t="shared" ca="1" si="129"/>
        <v>984</v>
      </c>
    </row>
    <row r="607" spans="1:20" x14ac:dyDescent="0.45">
      <c r="A607" s="11">
        <v>594</v>
      </c>
      <c r="B607" s="11">
        <f t="shared" ca="1" si="117"/>
        <v>0.70301149942208341</v>
      </c>
      <c r="C607" s="11">
        <f t="shared" ca="1" si="118"/>
        <v>1500</v>
      </c>
      <c r="D607" s="11">
        <f t="shared" ca="1" si="119"/>
        <v>0.20952862267260686</v>
      </c>
      <c r="E607" s="11">
        <f t="shared" ca="1" si="120"/>
        <v>1100</v>
      </c>
      <c r="F607" s="11">
        <f t="shared" ca="1" si="121"/>
        <v>0.62586404363855541</v>
      </c>
      <c r="G607" s="11">
        <f t="shared" ca="1" si="122"/>
        <v>1400</v>
      </c>
      <c r="H607" s="11">
        <f t="shared" ca="1" si="123"/>
        <v>1100</v>
      </c>
      <c r="I607" s="11">
        <f t="shared" ca="1" si="124"/>
        <v>0.65841101768358901</v>
      </c>
      <c r="J607" s="11">
        <f t="shared" ca="1" si="125"/>
        <v>10</v>
      </c>
      <c r="K607" s="24">
        <v>96</v>
      </c>
      <c r="L607" s="24">
        <f t="shared" ca="1" si="126"/>
        <v>100</v>
      </c>
      <c r="M607" s="24">
        <v>400</v>
      </c>
      <c r="N607" s="24">
        <v>20</v>
      </c>
      <c r="O607" s="24">
        <f t="shared" ca="1" si="127"/>
        <v>616</v>
      </c>
      <c r="P607" s="24">
        <v>625</v>
      </c>
      <c r="Q607" s="11">
        <f t="shared" ca="1" si="128"/>
        <v>100</v>
      </c>
      <c r="R607" s="24">
        <v>200</v>
      </c>
      <c r="S607" s="24">
        <v>10</v>
      </c>
      <c r="T607" s="24">
        <f t="shared" ca="1" si="129"/>
        <v>935</v>
      </c>
    </row>
    <row r="608" spans="1:20" x14ac:dyDescent="0.45">
      <c r="A608" s="11">
        <v>595</v>
      </c>
      <c r="B608" s="11">
        <f t="shared" ca="1" si="117"/>
        <v>0.48084960012150968</v>
      </c>
      <c r="C608" s="11">
        <f t="shared" ca="1" si="118"/>
        <v>1300</v>
      </c>
      <c r="D608" s="11">
        <f t="shared" ca="1" si="119"/>
        <v>0.12344952713901147</v>
      </c>
      <c r="E608" s="11">
        <f t="shared" ca="1" si="120"/>
        <v>1100</v>
      </c>
      <c r="F608" s="11">
        <f t="shared" ca="1" si="121"/>
        <v>0.86080995421711204</v>
      </c>
      <c r="G608" s="11">
        <f t="shared" ca="1" si="122"/>
        <v>1700</v>
      </c>
      <c r="H608" s="11">
        <f t="shared" ca="1" si="123"/>
        <v>1100</v>
      </c>
      <c r="I608" s="11">
        <f t="shared" ca="1" si="124"/>
        <v>0.40833968897990436</v>
      </c>
      <c r="J608" s="11">
        <f t="shared" ca="1" si="125"/>
        <v>5</v>
      </c>
      <c r="K608" s="24">
        <v>96</v>
      </c>
      <c r="L608" s="24">
        <f t="shared" ca="1" si="126"/>
        <v>50</v>
      </c>
      <c r="M608" s="24">
        <v>400</v>
      </c>
      <c r="N608" s="24">
        <v>20</v>
      </c>
      <c r="O608" s="24">
        <f t="shared" ca="1" si="127"/>
        <v>566</v>
      </c>
      <c r="P608" s="24">
        <v>626</v>
      </c>
      <c r="Q608" s="11">
        <f t="shared" ca="1" si="128"/>
        <v>50</v>
      </c>
      <c r="R608" s="24">
        <v>200</v>
      </c>
      <c r="S608" s="24">
        <v>10</v>
      </c>
      <c r="T608" s="24">
        <f t="shared" ca="1" si="129"/>
        <v>886</v>
      </c>
    </row>
    <row r="609" spans="1:20" x14ac:dyDescent="0.45">
      <c r="A609" s="11">
        <v>596</v>
      </c>
      <c r="B609" s="11">
        <f t="shared" ca="1" si="117"/>
        <v>0.4600476676614299</v>
      </c>
      <c r="C609" s="11">
        <f t="shared" ca="1" si="118"/>
        <v>1200</v>
      </c>
      <c r="D609" s="11">
        <f t="shared" ca="1" si="119"/>
        <v>0.17966816351240622</v>
      </c>
      <c r="E609" s="11">
        <f t="shared" ca="1" si="120"/>
        <v>1100</v>
      </c>
      <c r="F609" s="11">
        <f t="shared" ca="1" si="121"/>
        <v>0.39150798500444162</v>
      </c>
      <c r="G609" s="11">
        <f t="shared" ca="1" si="122"/>
        <v>1200</v>
      </c>
      <c r="H609" s="11">
        <f t="shared" ca="1" si="123"/>
        <v>1100</v>
      </c>
      <c r="I609" s="11">
        <f t="shared" ca="1" si="124"/>
        <v>0.17192111584789016</v>
      </c>
      <c r="J609" s="11">
        <f t="shared" ca="1" si="125"/>
        <v>5</v>
      </c>
      <c r="K609" s="24">
        <v>96</v>
      </c>
      <c r="L609" s="24">
        <f t="shared" ca="1" si="126"/>
        <v>50</v>
      </c>
      <c r="M609" s="24">
        <v>400</v>
      </c>
      <c r="N609" s="24">
        <v>20</v>
      </c>
      <c r="O609" s="24">
        <f t="shared" ca="1" si="127"/>
        <v>566</v>
      </c>
      <c r="P609" s="24">
        <v>627</v>
      </c>
      <c r="Q609" s="11">
        <f t="shared" ca="1" si="128"/>
        <v>50</v>
      </c>
      <c r="R609" s="24">
        <v>200</v>
      </c>
      <c r="S609" s="24">
        <v>10</v>
      </c>
      <c r="T609" s="24">
        <f t="shared" ca="1" si="129"/>
        <v>887</v>
      </c>
    </row>
    <row r="610" spans="1:20" x14ac:dyDescent="0.45">
      <c r="A610" s="11">
        <v>597</v>
      </c>
      <c r="B610" s="11">
        <f t="shared" ca="1" si="117"/>
        <v>0.84444528236549488</v>
      </c>
      <c r="C610" s="11">
        <f t="shared" ca="1" si="118"/>
        <v>1700</v>
      </c>
      <c r="D610" s="11">
        <f t="shared" ca="1" si="119"/>
        <v>0.66225755054421875</v>
      </c>
      <c r="E610" s="11">
        <f t="shared" ca="1" si="120"/>
        <v>1400</v>
      </c>
      <c r="F610" s="11">
        <f t="shared" ca="1" si="121"/>
        <v>0.46730327712236797</v>
      </c>
      <c r="G610" s="11">
        <f t="shared" ca="1" si="122"/>
        <v>1200</v>
      </c>
      <c r="H610" s="11">
        <f t="shared" ca="1" si="123"/>
        <v>1200</v>
      </c>
      <c r="I610" s="11">
        <f t="shared" ca="1" si="124"/>
        <v>0.18789422778056197</v>
      </c>
      <c r="J610" s="11">
        <f t="shared" ca="1" si="125"/>
        <v>5</v>
      </c>
      <c r="K610" s="24">
        <v>96</v>
      </c>
      <c r="L610" s="24">
        <f t="shared" ca="1" si="126"/>
        <v>50</v>
      </c>
      <c r="M610" s="24">
        <v>400</v>
      </c>
      <c r="N610" s="24">
        <v>20</v>
      </c>
      <c r="O610" s="24">
        <f t="shared" ca="1" si="127"/>
        <v>566</v>
      </c>
      <c r="P610" s="24">
        <v>628</v>
      </c>
      <c r="Q610" s="11">
        <f t="shared" ca="1" si="128"/>
        <v>50</v>
      </c>
      <c r="R610" s="24">
        <v>200</v>
      </c>
      <c r="S610" s="24">
        <v>10</v>
      </c>
      <c r="T610" s="24">
        <f t="shared" ca="1" si="129"/>
        <v>888</v>
      </c>
    </row>
    <row r="611" spans="1:20" x14ac:dyDescent="0.45">
      <c r="A611" s="11">
        <v>598</v>
      </c>
      <c r="B611" s="11">
        <f t="shared" ca="1" si="117"/>
        <v>0.40165131765458317</v>
      </c>
      <c r="C611" s="11">
        <f t="shared" ca="1" si="118"/>
        <v>1200</v>
      </c>
      <c r="D611" s="11">
        <f t="shared" ca="1" si="119"/>
        <v>0.19782050670705054</v>
      </c>
      <c r="E611" s="11">
        <f t="shared" ca="1" si="120"/>
        <v>1100</v>
      </c>
      <c r="F611" s="11">
        <f t="shared" ca="1" si="121"/>
        <v>0.58969969106297848</v>
      </c>
      <c r="G611" s="11">
        <f t="shared" ca="1" si="122"/>
        <v>1300</v>
      </c>
      <c r="H611" s="11">
        <f t="shared" ca="1" si="123"/>
        <v>1100</v>
      </c>
      <c r="I611" s="11">
        <f t="shared" ca="1" si="124"/>
        <v>0.61940498459831506</v>
      </c>
      <c r="J611" s="11">
        <f t="shared" ca="1" si="125"/>
        <v>10</v>
      </c>
      <c r="K611" s="24">
        <v>96</v>
      </c>
      <c r="L611" s="24">
        <f t="shared" ca="1" si="126"/>
        <v>100</v>
      </c>
      <c r="M611" s="24">
        <v>400</v>
      </c>
      <c r="N611" s="24">
        <v>20</v>
      </c>
      <c r="O611" s="24">
        <f t="shared" ca="1" si="127"/>
        <v>616</v>
      </c>
      <c r="P611" s="24">
        <v>629</v>
      </c>
      <c r="Q611" s="11">
        <f t="shared" ca="1" si="128"/>
        <v>100</v>
      </c>
      <c r="R611" s="24">
        <v>200</v>
      </c>
      <c r="S611" s="24">
        <v>10</v>
      </c>
      <c r="T611" s="24">
        <f t="shared" ca="1" si="129"/>
        <v>939</v>
      </c>
    </row>
    <row r="612" spans="1:20" x14ac:dyDescent="0.45">
      <c r="A612" s="11">
        <v>599</v>
      </c>
      <c r="B612" s="11">
        <f t="shared" ca="1" si="117"/>
        <v>0.44319744686753182</v>
      </c>
      <c r="C612" s="11">
        <f t="shared" ca="1" si="118"/>
        <v>1200</v>
      </c>
      <c r="D612" s="11">
        <f t="shared" ca="1" si="119"/>
        <v>0.28714039524712798</v>
      </c>
      <c r="E612" s="11">
        <f t="shared" ca="1" si="120"/>
        <v>1200</v>
      </c>
      <c r="F612" s="11">
        <f t="shared" ca="1" si="121"/>
        <v>0.50785420783847801</v>
      </c>
      <c r="G612" s="11">
        <f t="shared" ca="1" si="122"/>
        <v>1300</v>
      </c>
      <c r="H612" s="11">
        <f t="shared" ca="1" si="123"/>
        <v>1200</v>
      </c>
      <c r="I612" s="11">
        <f t="shared" ca="1" si="124"/>
        <v>0.31157779551546716</v>
      </c>
      <c r="J612" s="11">
        <f t="shared" ca="1" si="125"/>
        <v>5</v>
      </c>
      <c r="K612" s="24">
        <v>96</v>
      </c>
      <c r="L612" s="24">
        <f t="shared" ca="1" si="126"/>
        <v>50</v>
      </c>
      <c r="M612" s="24">
        <v>400</v>
      </c>
      <c r="N612" s="24">
        <v>20</v>
      </c>
      <c r="O612" s="24">
        <f t="shared" ca="1" si="127"/>
        <v>566</v>
      </c>
      <c r="P612" s="24">
        <v>630</v>
      </c>
      <c r="Q612" s="11">
        <f t="shared" ca="1" si="128"/>
        <v>50</v>
      </c>
      <c r="R612" s="24">
        <v>200</v>
      </c>
      <c r="S612" s="24">
        <v>10</v>
      </c>
      <c r="T612" s="24">
        <f t="shared" ca="1" si="129"/>
        <v>890</v>
      </c>
    </row>
    <row r="613" spans="1:20" x14ac:dyDescent="0.45">
      <c r="A613" s="11">
        <v>600</v>
      </c>
      <c r="B613" s="11">
        <f t="shared" ca="1" si="117"/>
        <v>0.81318646838830044</v>
      </c>
      <c r="C613" s="11">
        <f t="shared" ca="1" si="118"/>
        <v>1500</v>
      </c>
      <c r="D613" s="11">
        <f t="shared" ca="1" si="119"/>
        <v>2.8204383161354318E-2</v>
      </c>
      <c r="E613" s="11">
        <f t="shared" ca="1" si="120"/>
        <v>1000</v>
      </c>
      <c r="F613" s="11">
        <f t="shared" ca="1" si="121"/>
        <v>0.43226231274913129</v>
      </c>
      <c r="G613" s="11">
        <f t="shared" ca="1" si="122"/>
        <v>1200</v>
      </c>
      <c r="H613" s="11">
        <f t="shared" ca="1" si="123"/>
        <v>1000</v>
      </c>
      <c r="I613" s="11">
        <f t="shared" ca="1" si="124"/>
        <v>0.98176371831275588</v>
      </c>
      <c r="J613" s="11">
        <f t="shared" ca="1" si="125"/>
        <v>15</v>
      </c>
      <c r="K613" s="24">
        <v>96</v>
      </c>
      <c r="L613" s="24">
        <f t="shared" ca="1" si="126"/>
        <v>150</v>
      </c>
      <c r="M613" s="24">
        <v>400</v>
      </c>
      <c r="N613" s="24">
        <v>20</v>
      </c>
      <c r="O613" s="24">
        <f t="shared" ca="1" si="127"/>
        <v>666</v>
      </c>
      <c r="P613" s="24">
        <v>631</v>
      </c>
      <c r="Q613" s="11">
        <f t="shared" ca="1" si="128"/>
        <v>150</v>
      </c>
      <c r="R613" s="24">
        <v>200</v>
      </c>
      <c r="S613" s="24">
        <v>10</v>
      </c>
      <c r="T613" s="24">
        <f t="shared" ca="1" si="129"/>
        <v>991</v>
      </c>
    </row>
    <row r="614" spans="1:20" x14ac:dyDescent="0.45">
      <c r="A614" s="11">
        <v>601</v>
      </c>
      <c r="B614" s="11">
        <f t="shared" ca="1" si="117"/>
        <v>0.65196260635172032</v>
      </c>
      <c r="C614" s="11">
        <f t="shared" ca="1" si="118"/>
        <v>1400</v>
      </c>
      <c r="D614" s="11">
        <f t="shared" ca="1" si="119"/>
        <v>0.84293312025863587</v>
      </c>
      <c r="E614" s="11">
        <f t="shared" ca="1" si="120"/>
        <v>1700</v>
      </c>
      <c r="F614" s="11">
        <f t="shared" ca="1" si="121"/>
        <v>0.1995515764750182</v>
      </c>
      <c r="G614" s="11">
        <f t="shared" ca="1" si="122"/>
        <v>1100</v>
      </c>
      <c r="H614" s="11">
        <f t="shared" ca="1" si="123"/>
        <v>1100</v>
      </c>
      <c r="I614" s="11">
        <f t="shared" ca="1" si="124"/>
        <v>0.5234248243338282</v>
      </c>
      <c r="J614" s="11">
        <f t="shared" ca="1" si="125"/>
        <v>5</v>
      </c>
      <c r="K614" s="24">
        <v>96</v>
      </c>
      <c r="L614" s="24">
        <f t="shared" ca="1" si="126"/>
        <v>50</v>
      </c>
      <c r="M614" s="24">
        <v>400</v>
      </c>
      <c r="N614" s="24">
        <v>20</v>
      </c>
      <c r="O614" s="24">
        <f t="shared" ca="1" si="127"/>
        <v>566</v>
      </c>
      <c r="P614" s="24">
        <v>632</v>
      </c>
      <c r="Q614" s="11">
        <f t="shared" ca="1" si="128"/>
        <v>50</v>
      </c>
      <c r="R614" s="24">
        <v>200</v>
      </c>
      <c r="S614" s="24">
        <v>10</v>
      </c>
      <c r="T614" s="24">
        <f t="shared" ca="1" si="129"/>
        <v>892</v>
      </c>
    </row>
    <row r="615" spans="1:20" x14ac:dyDescent="0.45">
      <c r="A615" s="11">
        <v>602</v>
      </c>
      <c r="B615" s="11">
        <f t="shared" ca="1" si="117"/>
        <v>0.93079168500114495</v>
      </c>
      <c r="C615" s="11">
        <f t="shared" ca="1" si="118"/>
        <v>1800</v>
      </c>
      <c r="D615" s="11">
        <f t="shared" ca="1" si="119"/>
        <v>7.5306030387945921E-2</v>
      </c>
      <c r="E615" s="11">
        <f t="shared" ca="1" si="120"/>
        <v>1000</v>
      </c>
      <c r="F615" s="11">
        <f t="shared" ca="1" si="121"/>
        <v>0.74407161620505713</v>
      </c>
      <c r="G615" s="11">
        <f t="shared" ca="1" si="122"/>
        <v>1500</v>
      </c>
      <c r="H615" s="11">
        <f t="shared" ca="1" si="123"/>
        <v>1000</v>
      </c>
      <c r="I615" s="11">
        <f t="shared" ca="1" si="124"/>
        <v>0.62299954410662717</v>
      </c>
      <c r="J615" s="11">
        <f t="shared" ca="1" si="125"/>
        <v>10</v>
      </c>
      <c r="K615" s="24">
        <v>96</v>
      </c>
      <c r="L615" s="24">
        <f t="shared" ca="1" si="126"/>
        <v>100</v>
      </c>
      <c r="M615" s="24">
        <v>400</v>
      </c>
      <c r="N615" s="24">
        <v>20</v>
      </c>
      <c r="O615" s="24">
        <f t="shared" ca="1" si="127"/>
        <v>616</v>
      </c>
      <c r="P615" s="24">
        <v>633</v>
      </c>
      <c r="Q615" s="11">
        <f t="shared" ca="1" si="128"/>
        <v>100</v>
      </c>
      <c r="R615" s="24">
        <v>200</v>
      </c>
      <c r="S615" s="24">
        <v>10</v>
      </c>
      <c r="T615" s="24">
        <f t="shared" ca="1" si="129"/>
        <v>943</v>
      </c>
    </row>
    <row r="616" spans="1:20" x14ac:dyDescent="0.45">
      <c r="A616" s="11">
        <v>603</v>
      </c>
      <c r="B616" s="11">
        <f t="shared" ca="1" si="117"/>
        <v>0.89839936039532275</v>
      </c>
      <c r="C616" s="11">
        <f t="shared" ca="1" si="118"/>
        <v>1700</v>
      </c>
      <c r="D616" s="11">
        <f t="shared" ca="1" si="119"/>
        <v>0.19079117934111611</v>
      </c>
      <c r="E616" s="11">
        <f t="shared" ca="1" si="120"/>
        <v>1100</v>
      </c>
      <c r="F616" s="11">
        <f t="shared" ca="1" si="121"/>
        <v>0.26872715602465003</v>
      </c>
      <c r="G616" s="11">
        <f t="shared" ca="1" si="122"/>
        <v>1200</v>
      </c>
      <c r="H616" s="11">
        <f t="shared" ca="1" si="123"/>
        <v>1100</v>
      </c>
      <c r="I616" s="11">
        <f t="shared" ca="1" si="124"/>
        <v>0.34023181839371852</v>
      </c>
      <c r="J616" s="11">
        <f t="shared" ca="1" si="125"/>
        <v>5</v>
      </c>
      <c r="K616" s="24">
        <v>96</v>
      </c>
      <c r="L616" s="24">
        <f t="shared" ca="1" si="126"/>
        <v>50</v>
      </c>
      <c r="M616" s="24">
        <v>400</v>
      </c>
      <c r="N616" s="24">
        <v>20</v>
      </c>
      <c r="O616" s="24">
        <f t="shared" ca="1" si="127"/>
        <v>566</v>
      </c>
      <c r="P616" s="24">
        <v>634</v>
      </c>
      <c r="Q616" s="11">
        <f t="shared" ca="1" si="128"/>
        <v>50</v>
      </c>
      <c r="R616" s="24">
        <v>200</v>
      </c>
      <c r="S616" s="24">
        <v>10</v>
      </c>
      <c r="T616" s="24">
        <f t="shared" ca="1" si="129"/>
        <v>894</v>
      </c>
    </row>
    <row r="617" spans="1:20" x14ac:dyDescent="0.45">
      <c r="A617" s="11">
        <v>604</v>
      </c>
      <c r="B617" s="11">
        <f t="shared" ca="1" si="117"/>
        <v>0.31732931637055917</v>
      </c>
      <c r="C617" s="11">
        <f t="shared" ca="1" si="118"/>
        <v>1200</v>
      </c>
      <c r="D617" s="11">
        <f t="shared" ca="1" si="119"/>
        <v>0.38364691529032069</v>
      </c>
      <c r="E617" s="11">
        <f t="shared" ca="1" si="120"/>
        <v>1200</v>
      </c>
      <c r="F617" s="11">
        <f t="shared" ca="1" si="121"/>
        <v>0.36417889298197925</v>
      </c>
      <c r="G617" s="11">
        <f t="shared" ca="1" si="122"/>
        <v>1200</v>
      </c>
      <c r="H617" s="11">
        <f t="shared" ca="1" si="123"/>
        <v>1200</v>
      </c>
      <c r="I617" s="11">
        <f t="shared" ca="1" si="124"/>
        <v>0.95661382627698355</v>
      </c>
      <c r="J617" s="11">
        <f t="shared" ca="1" si="125"/>
        <v>15</v>
      </c>
      <c r="K617" s="24">
        <v>96</v>
      </c>
      <c r="L617" s="24">
        <f t="shared" ca="1" si="126"/>
        <v>150</v>
      </c>
      <c r="M617" s="24">
        <v>400</v>
      </c>
      <c r="N617" s="24">
        <v>20</v>
      </c>
      <c r="O617" s="24">
        <f t="shared" ca="1" si="127"/>
        <v>666</v>
      </c>
      <c r="P617" s="24">
        <v>635</v>
      </c>
      <c r="Q617" s="11">
        <f t="shared" ca="1" si="128"/>
        <v>150</v>
      </c>
      <c r="R617" s="24">
        <v>200</v>
      </c>
      <c r="S617" s="24">
        <v>10</v>
      </c>
      <c r="T617" s="24">
        <f t="shared" ca="1" si="129"/>
        <v>995</v>
      </c>
    </row>
    <row r="618" spans="1:20" x14ac:dyDescent="0.45">
      <c r="A618" s="11">
        <v>605</v>
      </c>
      <c r="B618" s="11">
        <f t="shared" ca="1" si="117"/>
        <v>0.15064196012886066</v>
      </c>
      <c r="C618" s="11">
        <f t="shared" ca="1" si="118"/>
        <v>1100</v>
      </c>
      <c r="D618" s="11">
        <f t="shared" ca="1" si="119"/>
        <v>0.94209090776655602</v>
      </c>
      <c r="E618" s="11">
        <f t="shared" ca="1" si="120"/>
        <v>1800</v>
      </c>
      <c r="F618" s="11">
        <f t="shared" ca="1" si="121"/>
        <v>0.59900978738379651</v>
      </c>
      <c r="G618" s="11">
        <f t="shared" ca="1" si="122"/>
        <v>1300</v>
      </c>
      <c r="H618" s="11">
        <f t="shared" ca="1" si="123"/>
        <v>1100</v>
      </c>
      <c r="I618" s="11">
        <f t="shared" ca="1" si="124"/>
        <v>0.70969929788459685</v>
      </c>
      <c r="J618" s="11">
        <f t="shared" ca="1" si="125"/>
        <v>10</v>
      </c>
      <c r="K618" s="24">
        <v>96</v>
      </c>
      <c r="L618" s="24">
        <f t="shared" ca="1" si="126"/>
        <v>100</v>
      </c>
      <c r="M618" s="24">
        <v>400</v>
      </c>
      <c r="N618" s="24">
        <v>20</v>
      </c>
      <c r="O618" s="24">
        <f t="shared" ca="1" si="127"/>
        <v>616</v>
      </c>
      <c r="P618" s="24">
        <v>636</v>
      </c>
      <c r="Q618" s="11">
        <f t="shared" ca="1" si="128"/>
        <v>100</v>
      </c>
      <c r="R618" s="24">
        <v>200</v>
      </c>
      <c r="S618" s="24">
        <v>10</v>
      </c>
      <c r="T618" s="24">
        <f t="shared" ca="1" si="129"/>
        <v>946</v>
      </c>
    </row>
    <row r="619" spans="1:20" x14ac:dyDescent="0.45">
      <c r="A619" s="11">
        <v>606</v>
      </c>
      <c r="B619" s="11">
        <f t="shared" ca="1" si="117"/>
        <v>0.86999249102615983</v>
      </c>
      <c r="C619" s="11">
        <f t="shared" ca="1" si="118"/>
        <v>1700</v>
      </c>
      <c r="D619" s="11">
        <f t="shared" ca="1" si="119"/>
        <v>0.21346625169831179</v>
      </c>
      <c r="E619" s="11">
        <f t="shared" ca="1" si="120"/>
        <v>1100</v>
      </c>
      <c r="F619" s="11">
        <f t="shared" ca="1" si="121"/>
        <v>0.31212807522197639</v>
      </c>
      <c r="G619" s="11">
        <f t="shared" ca="1" si="122"/>
        <v>1200</v>
      </c>
      <c r="H619" s="11">
        <f t="shared" ca="1" si="123"/>
        <v>1100</v>
      </c>
      <c r="I619" s="11">
        <f t="shared" ca="1" si="124"/>
        <v>4.1115864492982213E-2</v>
      </c>
      <c r="J619" s="11">
        <f t="shared" ca="1" si="125"/>
        <v>5</v>
      </c>
      <c r="K619" s="24">
        <v>96</v>
      </c>
      <c r="L619" s="24">
        <f t="shared" ca="1" si="126"/>
        <v>50</v>
      </c>
      <c r="M619" s="24">
        <v>400</v>
      </c>
      <c r="N619" s="24">
        <v>20</v>
      </c>
      <c r="O619" s="24">
        <f t="shared" ca="1" si="127"/>
        <v>566</v>
      </c>
      <c r="P619" s="24">
        <v>637</v>
      </c>
      <c r="Q619" s="11">
        <f t="shared" ca="1" si="128"/>
        <v>50</v>
      </c>
      <c r="R619" s="24">
        <v>200</v>
      </c>
      <c r="S619" s="24">
        <v>10</v>
      </c>
      <c r="T619" s="24">
        <f t="shared" ca="1" si="129"/>
        <v>897</v>
      </c>
    </row>
    <row r="620" spans="1:20" x14ac:dyDescent="0.45">
      <c r="A620" s="11">
        <v>607</v>
      </c>
      <c r="B620" s="11">
        <f t="shared" ca="1" si="117"/>
        <v>0.68864813229521871</v>
      </c>
      <c r="C620" s="11">
        <f t="shared" ca="1" si="118"/>
        <v>1400</v>
      </c>
      <c r="D620" s="11">
        <f t="shared" ca="1" si="119"/>
        <v>0.69350123113283069</v>
      </c>
      <c r="E620" s="11">
        <f t="shared" ca="1" si="120"/>
        <v>1400</v>
      </c>
      <c r="F620" s="11">
        <f t="shared" ca="1" si="121"/>
        <v>5.9550198613804062E-2</v>
      </c>
      <c r="G620" s="11">
        <f t="shared" ca="1" si="122"/>
        <v>1000</v>
      </c>
      <c r="H620" s="11">
        <f t="shared" ca="1" si="123"/>
        <v>1000</v>
      </c>
      <c r="I620" s="11">
        <f t="shared" ca="1" si="124"/>
        <v>0.12572284971512315</v>
      </c>
      <c r="J620" s="11">
        <f t="shared" ca="1" si="125"/>
        <v>5</v>
      </c>
      <c r="K620" s="24">
        <v>96</v>
      </c>
      <c r="L620" s="24">
        <f t="shared" ca="1" si="126"/>
        <v>50</v>
      </c>
      <c r="M620" s="24">
        <v>400</v>
      </c>
      <c r="N620" s="24">
        <v>20</v>
      </c>
      <c r="O620" s="24">
        <f t="shared" ca="1" si="127"/>
        <v>566</v>
      </c>
      <c r="P620" s="24">
        <v>638</v>
      </c>
      <c r="Q620" s="11">
        <f t="shared" ca="1" si="128"/>
        <v>50</v>
      </c>
      <c r="R620" s="24">
        <v>200</v>
      </c>
      <c r="S620" s="24">
        <v>10</v>
      </c>
      <c r="T620" s="24">
        <f t="shared" ca="1" si="129"/>
        <v>898</v>
      </c>
    </row>
    <row r="621" spans="1:20" x14ac:dyDescent="0.45">
      <c r="A621" s="11">
        <v>608</v>
      </c>
      <c r="B621" s="11">
        <f t="shared" ca="1" si="117"/>
        <v>0.6205055967214993</v>
      </c>
      <c r="C621" s="11">
        <f t="shared" ca="1" si="118"/>
        <v>1400</v>
      </c>
      <c r="D621" s="11">
        <f t="shared" ca="1" si="119"/>
        <v>1.3937317678798244E-3</v>
      </c>
      <c r="E621" s="11">
        <f t="shared" ca="1" si="120"/>
        <v>1000</v>
      </c>
      <c r="F621" s="11">
        <f t="shared" ca="1" si="121"/>
        <v>0.60590580618367695</v>
      </c>
      <c r="G621" s="11">
        <f t="shared" ca="1" si="122"/>
        <v>1300</v>
      </c>
      <c r="H621" s="11">
        <f t="shared" ca="1" si="123"/>
        <v>1000</v>
      </c>
      <c r="I621" s="11">
        <f t="shared" ca="1" si="124"/>
        <v>0.71633573204326639</v>
      </c>
      <c r="J621" s="11">
        <f t="shared" ca="1" si="125"/>
        <v>10</v>
      </c>
      <c r="K621" s="24">
        <v>96</v>
      </c>
      <c r="L621" s="24">
        <f t="shared" ca="1" si="126"/>
        <v>100</v>
      </c>
      <c r="M621" s="24">
        <v>400</v>
      </c>
      <c r="N621" s="24">
        <v>20</v>
      </c>
      <c r="O621" s="24">
        <f t="shared" ca="1" si="127"/>
        <v>616</v>
      </c>
      <c r="P621" s="24">
        <v>639</v>
      </c>
      <c r="Q621" s="11">
        <f t="shared" ca="1" si="128"/>
        <v>100</v>
      </c>
      <c r="R621" s="24">
        <v>200</v>
      </c>
      <c r="S621" s="24">
        <v>10</v>
      </c>
      <c r="T621" s="24">
        <f t="shared" ca="1" si="129"/>
        <v>949</v>
      </c>
    </row>
    <row r="622" spans="1:20" x14ac:dyDescent="0.45">
      <c r="A622" s="11">
        <v>609</v>
      </c>
      <c r="B622" s="11">
        <f t="shared" ca="1" si="117"/>
        <v>0.42480493742561065</v>
      </c>
      <c r="C622" s="11">
        <f t="shared" ca="1" si="118"/>
        <v>1200</v>
      </c>
      <c r="D622" s="11">
        <f t="shared" ca="1" si="119"/>
        <v>0.70542373522895774</v>
      </c>
      <c r="E622" s="11">
        <f t="shared" ca="1" si="120"/>
        <v>1500</v>
      </c>
      <c r="F622" s="11">
        <f t="shared" ca="1" si="121"/>
        <v>0.39619739904162343</v>
      </c>
      <c r="G622" s="11">
        <f t="shared" ca="1" si="122"/>
        <v>1200</v>
      </c>
      <c r="H622" s="11">
        <f t="shared" ca="1" si="123"/>
        <v>1200</v>
      </c>
      <c r="I622" s="11">
        <f t="shared" ca="1" si="124"/>
        <v>5.7050492862559699E-2</v>
      </c>
      <c r="J622" s="11">
        <f t="shared" ca="1" si="125"/>
        <v>5</v>
      </c>
      <c r="K622" s="24">
        <v>96</v>
      </c>
      <c r="L622" s="24">
        <f t="shared" ca="1" si="126"/>
        <v>50</v>
      </c>
      <c r="M622" s="24">
        <v>400</v>
      </c>
      <c r="N622" s="24">
        <v>20</v>
      </c>
      <c r="O622" s="24">
        <f t="shared" ca="1" si="127"/>
        <v>566</v>
      </c>
      <c r="P622" s="24">
        <v>640</v>
      </c>
      <c r="Q622" s="11">
        <f t="shared" ca="1" si="128"/>
        <v>50</v>
      </c>
      <c r="R622" s="24">
        <v>200</v>
      </c>
      <c r="S622" s="24">
        <v>10</v>
      </c>
      <c r="T622" s="24">
        <f t="shared" ca="1" si="129"/>
        <v>900</v>
      </c>
    </row>
    <row r="623" spans="1:20" x14ac:dyDescent="0.45">
      <c r="A623" s="11">
        <v>610</v>
      </c>
      <c r="B623" s="11">
        <f t="shared" ca="1" si="117"/>
        <v>0.48070658203699301</v>
      </c>
      <c r="C623" s="11">
        <f t="shared" ca="1" si="118"/>
        <v>1300</v>
      </c>
      <c r="D623" s="11">
        <f t="shared" ca="1" si="119"/>
        <v>0.91675182931696519</v>
      </c>
      <c r="E623" s="11">
        <f t="shared" ca="1" si="120"/>
        <v>1800</v>
      </c>
      <c r="F623" s="11">
        <f t="shared" ca="1" si="121"/>
        <v>0.6745883278043453</v>
      </c>
      <c r="G623" s="11">
        <f t="shared" ca="1" si="122"/>
        <v>1400</v>
      </c>
      <c r="H623" s="11">
        <f t="shared" ca="1" si="123"/>
        <v>1300</v>
      </c>
      <c r="I623" s="11">
        <f t="shared" ca="1" si="124"/>
        <v>0.13185681266907068</v>
      </c>
      <c r="J623" s="11">
        <f t="shared" ca="1" si="125"/>
        <v>5</v>
      </c>
      <c r="K623" s="24">
        <v>96</v>
      </c>
      <c r="L623" s="24">
        <f t="shared" ca="1" si="126"/>
        <v>50</v>
      </c>
      <c r="M623" s="24">
        <v>400</v>
      </c>
      <c r="N623" s="24">
        <v>20</v>
      </c>
      <c r="O623" s="24">
        <f t="shared" ca="1" si="127"/>
        <v>566</v>
      </c>
      <c r="P623" s="24">
        <v>641</v>
      </c>
      <c r="Q623" s="11">
        <f t="shared" ca="1" si="128"/>
        <v>50</v>
      </c>
      <c r="R623" s="24">
        <v>200</v>
      </c>
      <c r="S623" s="24">
        <v>10</v>
      </c>
      <c r="T623" s="24">
        <f t="shared" ca="1" si="129"/>
        <v>901</v>
      </c>
    </row>
    <row r="624" spans="1:20" x14ac:dyDescent="0.45">
      <c r="A624" s="11">
        <v>611</v>
      </c>
      <c r="B624" s="11">
        <f t="shared" ca="1" si="117"/>
        <v>0.30221223792469798</v>
      </c>
      <c r="C624" s="11">
        <f t="shared" ca="1" si="118"/>
        <v>1200</v>
      </c>
      <c r="D624" s="11">
        <f t="shared" ca="1" si="119"/>
        <v>0.41820843632908378</v>
      </c>
      <c r="E624" s="11">
        <f t="shared" ca="1" si="120"/>
        <v>1200</v>
      </c>
      <c r="F624" s="11">
        <f t="shared" ca="1" si="121"/>
        <v>0.42671741529659513</v>
      </c>
      <c r="G624" s="11">
        <f t="shared" ca="1" si="122"/>
        <v>1200</v>
      </c>
      <c r="H624" s="11">
        <f t="shared" ca="1" si="123"/>
        <v>1200</v>
      </c>
      <c r="I624" s="11">
        <f t="shared" ca="1" si="124"/>
        <v>0.33805297908258769</v>
      </c>
      <c r="J624" s="11">
        <f t="shared" ca="1" si="125"/>
        <v>5</v>
      </c>
      <c r="K624" s="24">
        <v>96</v>
      </c>
      <c r="L624" s="24">
        <f t="shared" ca="1" si="126"/>
        <v>50</v>
      </c>
      <c r="M624" s="24">
        <v>400</v>
      </c>
      <c r="N624" s="24">
        <v>20</v>
      </c>
      <c r="O624" s="24">
        <f t="shared" ca="1" si="127"/>
        <v>566</v>
      </c>
      <c r="P624" s="24">
        <v>642</v>
      </c>
      <c r="Q624" s="11">
        <f t="shared" ca="1" si="128"/>
        <v>50</v>
      </c>
      <c r="R624" s="24">
        <v>200</v>
      </c>
      <c r="S624" s="24">
        <v>10</v>
      </c>
      <c r="T624" s="24">
        <f t="shared" ca="1" si="129"/>
        <v>902</v>
      </c>
    </row>
    <row r="625" spans="1:20" x14ac:dyDescent="0.45">
      <c r="A625" s="11">
        <v>612</v>
      </c>
      <c r="B625" s="11">
        <f t="shared" ca="1" si="117"/>
        <v>8.3250851174906493E-2</v>
      </c>
      <c r="C625" s="11">
        <f t="shared" ca="1" si="118"/>
        <v>1000</v>
      </c>
      <c r="D625" s="11">
        <f t="shared" ca="1" si="119"/>
        <v>0.33904929354050084</v>
      </c>
      <c r="E625" s="11">
        <f t="shared" ca="1" si="120"/>
        <v>1200</v>
      </c>
      <c r="F625" s="11">
        <f t="shared" ca="1" si="121"/>
        <v>0.41996263166927372</v>
      </c>
      <c r="G625" s="11">
        <f t="shared" ca="1" si="122"/>
        <v>1200</v>
      </c>
      <c r="H625" s="11">
        <f t="shared" ca="1" si="123"/>
        <v>1000</v>
      </c>
      <c r="I625" s="11">
        <f t="shared" ca="1" si="124"/>
        <v>0.37753813216422227</v>
      </c>
      <c r="J625" s="11">
        <f t="shared" ca="1" si="125"/>
        <v>5</v>
      </c>
      <c r="K625" s="24">
        <v>96</v>
      </c>
      <c r="L625" s="24">
        <f t="shared" ca="1" si="126"/>
        <v>50</v>
      </c>
      <c r="M625" s="24">
        <v>400</v>
      </c>
      <c r="N625" s="24">
        <v>20</v>
      </c>
      <c r="O625" s="24">
        <f t="shared" ca="1" si="127"/>
        <v>566</v>
      </c>
      <c r="P625" s="24">
        <v>643</v>
      </c>
      <c r="Q625" s="11">
        <f t="shared" ca="1" si="128"/>
        <v>50</v>
      </c>
      <c r="R625" s="24">
        <v>200</v>
      </c>
      <c r="S625" s="24">
        <v>10</v>
      </c>
      <c r="T625" s="24">
        <f t="shared" ca="1" si="129"/>
        <v>903</v>
      </c>
    </row>
    <row r="626" spans="1:20" x14ac:dyDescent="0.45">
      <c r="A626" s="11">
        <v>613</v>
      </c>
      <c r="B626" s="11">
        <f t="shared" ca="1" si="117"/>
        <v>0.30544309515222945</v>
      </c>
      <c r="C626" s="11">
        <f t="shared" ca="1" si="118"/>
        <v>1200</v>
      </c>
      <c r="D626" s="11">
        <f t="shared" ca="1" si="119"/>
        <v>0.1523259629508984</v>
      </c>
      <c r="E626" s="11">
        <f t="shared" ca="1" si="120"/>
        <v>1100</v>
      </c>
      <c r="F626" s="11">
        <f t="shared" ca="1" si="121"/>
        <v>0.46673658576131705</v>
      </c>
      <c r="G626" s="11">
        <f t="shared" ca="1" si="122"/>
        <v>1200</v>
      </c>
      <c r="H626" s="11">
        <f t="shared" ca="1" si="123"/>
        <v>1100</v>
      </c>
      <c r="I626" s="11">
        <f t="shared" ca="1" si="124"/>
        <v>0.63108207671193972</v>
      </c>
      <c r="J626" s="11">
        <f t="shared" ca="1" si="125"/>
        <v>10</v>
      </c>
      <c r="K626" s="24">
        <v>96</v>
      </c>
      <c r="L626" s="24">
        <f t="shared" ca="1" si="126"/>
        <v>100</v>
      </c>
      <c r="M626" s="24">
        <v>400</v>
      </c>
      <c r="N626" s="24">
        <v>20</v>
      </c>
      <c r="O626" s="24">
        <f t="shared" ca="1" si="127"/>
        <v>616</v>
      </c>
      <c r="P626" s="24">
        <v>644</v>
      </c>
      <c r="Q626" s="11">
        <f t="shared" ca="1" si="128"/>
        <v>100</v>
      </c>
      <c r="R626" s="24">
        <v>200</v>
      </c>
      <c r="S626" s="24">
        <v>10</v>
      </c>
      <c r="T626" s="24">
        <f t="shared" ca="1" si="129"/>
        <v>954</v>
      </c>
    </row>
    <row r="627" spans="1:20" x14ac:dyDescent="0.45">
      <c r="A627" s="11">
        <v>614</v>
      </c>
      <c r="B627" s="11">
        <f t="shared" ca="1" si="117"/>
        <v>0.88501842841430856</v>
      </c>
      <c r="C627" s="11">
        <f t="shared" ca="1" si="118"/>
        <v>1700</v>
      </c>
      <c r="D627" s="11">
        <f t="shared" ca="1" si="119"/>
        <v>0.92162286376714975</v>
      </c>
      <c r="E627" s="11">
        <f t="shared" ca="1" si="120"/>
        <v>1800</v>
      </c>
      <c r="F627" s="11">
        <f t="shared" ca="1" si="121"/>
        <v>0.51639451838262829</v>
      </c>
      <c r="G627" s="11">
        <f t="shared" ca="1" si="122"/>
        <v>1300</v>
      </c>
      <c r="H627" s="11">
        <f t="shared" ca="1" si="123"/>
        <v>1300</v>
      </c>
      <c r="I627" s="11">
        <f t="shared" ca="1" si="124"/>
        <v>0.81795922093341966</v>
      </c>
      <c r="J627" s="11">
        <f t="shared" ca="1" si="125"/>
        <v>10</v>
      </c>
      <c r="K627" s="24">
        <v>96</v>
      </c>
      <c r="L627" s="24">
        <f t="shared" ca="1" si="126"/>
        <v>100</v>
      </c>
      <c r="M627" s="24">
        <v>400</v>
      </c>
      <c r="N627" s="24">
        <v>20</v>
      </c>
      <c r="O627" s="24">
        <f t="shared" ca="1" si="127"/>
        <v>616</v>
      </c>
      <c r="P627" s="24">
        <v>645</v>
      </c>
      <c r="Q627" s="11">
        <f t="shared" ca="1" si="128"/>
        <v>100</v>
      </c>
      <c r="R627" s="24">
        <v>200</v>
      </c>
      <c r="S627" s="24">
        <v>10</v>
      </c>
      <c r="T627" s="24">
        <f t="shared" ca="1" si="129"/>
        <v>955</v>
      </c>
    </row>
    <row r="628" spans="1:20" x14ac:dyDescent="0.45">
      <c r="A628" s="11">
        <v>615</v>
      </c>
      <c r="B628" s="11">
        <f t="shared" ca="1" si="117"/>
        <v>0.7442998149163178</v>
      </c>
      <c r="C628" s="11">
        <f t="shared" ca="1" si="118"/>
        <v>1500</v>
      </c>
      <c r="D628" s="11">
        <f t="shared" ca="1" si="119"/>
        <v>0.40048515774036364</v>
      </c>
      <c r="E628" s="11">
        <f t="shared" ca="1" si="120"/>
        <v>1200</v>
      </c>
      <c r="F628" s="11">
        <f t="shared" ca="1" si="121"/>
        <v>0.99201472421249148</v>
      </c>
      <c r="G628" s="11">
        <f t="shared" ca="1" si="122"/>
        <v>1900</v>
      </c>
      <c r="H628" s="11">
        <f t="shared" ca="1" si="123"/>
        <v>1200</v>
      </c>
      <c r="I628" s="11">
        <f t="shared" ca="1" si="124"/>
        <v>0.22631894502675343</v>
      </c>
      <c r="J628" s="11">
        <f t="shared" ca="1" si="125"/>
        <v>5</v>
      </c>
      <c r="K628" s="24">
        <v>96</v>
      </c>
      <c r="L628" s="24">
        <f t="shared" ca="1" si="126"/>
        <v>50</v>
      </c>
      <c r="M628" s="24">
        <v>400</v>
      </c>
      <c r="N628" s="24">
        <v>20</v>
      </c>
      <c r="O628" s="24">
        <f t="shared" ca="1" si="127"/>
        <v>566</v>
      </c>
      <c r="P628" s="24">
        <v>646</v>
      </c>
      <c r="Q628" s="11">
        <f t="shared" ca="1" si="128"/>
        <v>50</v>
      </c>
      <c r="R628" s="24">
        <v>200</v>
      </c>
      <c r="S628" s="24">
        <v>10</v>
      </c>
      <c r="T628" s="24">
        <f t="shared" ca="1" si="129"/>
        <v>906</v>
      </c>
    </row>
    <row r="629" spans="1:20" x14ac:dyDescent="0.45">
      <c r="A629" s="11">
        <v>616</v>
      </c>
      <c r="B629" s="11">
        <f t="shared" ca="1" si="117"/>
        <v>0.77076637101993406</v>
      </c>
      <c r="C629" s="11">
        <f t="shared" ca="1" si="118"/>
        <v>1500</v>
      </c>
      <c r="D629" s="11">
        <f t="shared" ca="1" si="119"/>
        <v>0.80157043851776288</v>
      </c>
      <c r="E629" s="11">
        <f t="shared" ca="1" si="120"/>
        <v>1500</v>
      </c>
      <c r="F629" s="11">
        <f t="shared" ca="1" si="121"/>
        <v>1.4204522901035688E-3</v>
      </c>
      <c r="G629" s="11">
        <f t="shared" ca="1" si="122"/>
        <v>1000</v>
      </c>
      <c r="H629" s="11">
        <f t="shared" ca="1" si="123"/>
        <v>1000</v>
      </c>
      <c r="I629" s="11">
        <f t="shared" ca="1" si="124"/>
        <v>0.78472755979315667</v>
      </c>
      <c r="J629" s="11">
        <f t="shared" ca="1" si="125"/>
        <v>10</v>
      </c>
      <c r="K629" s="24">
        <v>96</v>
      </c>
      <c r="L629" s="24">
        <f t="shared" ca="1" si="126"/>
        <v>100</v>
      </c>
      <c r="M629" s="24">
        <v>400</v>
      </c>
      <c r="N629" s="24">
        <v>20</v>
      </c>
      <c r="O629" s="24">
        <f t="shared" ca="1" si="127"/>
        <v>616</v>
      </c>
      <c r="P629" s="24">
        <v>647</v>
      </c>
      <c r="Q629" s="11">
        <f t="shared" ca="1" si="128"/>
        <v>100</v>
      </c>
      <c r="R629" s="24">
        <v>200</v>
      </c>
      <c r="S629" s="24">
        <v>10</v>
      </c>
      <c r="T629" s="24">
        <f t="shared" ca="1" si="129"/>
        <v>957</v>
      </c>
    </row>
    <row r="630" spans="1:20" x14ac:dyDescent="0.45">
      <c r="A630" s="11">
        <v>617</v>
      </c>
      <c r="B630" s="11">
        <f t="shared" ca="1" si="117"/>
        <v>0.43520026194342298</v>
      </c>
      <c r="C630" s="11">
        <f t="shared" ca="1" si="118"/>
        <v>1200</v>
      </c>
      <c r="D630" s="11">
        <f t="shared" ca="1" si="119"/>
        <v>0.78024176050618965</v>
      </c>
      <c r="E630" s="11">
        <f t="shared" ca="1" si="120"/>
        <v>1500</v>
      </c>
      <c r="F630" s="11">
        <f t="shared" ca="1" si="121"/>
        <v>0.20955113974033579</v>
      </c>
      <c r="G630" s="11">
        <f t="shared" ca="1" si="122"/>
        <v>1100</v>
      </c>
      <c r="H630" s="11">
        <f t="shared" ca="1" si="123"/>
        <v>1100</v>
      </c>
      <c r="I630" s="11">
        <f t="shared" ca="1" si="124"/>
        <v>0.97406239631332714</v>
      </c>
      <c r="J630" s="11">
        <f t="shared" ca="1" si="125"/>
        <v>15</v>
      </c>
      <c r="K630" s="24">
        <v>96</v>
      </c>
      <c r="L630" s="24">
        <f t="shared" ca="1" si="126"/>
        <v>150</v>
      </c>
      <c r="M630" s="24">
        <v>400</v>
      </c>
      <c r="N630" s="24">
        <v>20</v>
      </c>
      <c r="O630" s="24">
        <f t="shared" ca="1" si="127"/>
        <v>666</v>
      </c>
      <c r="P630" s="24">
        <v>648</v>
      </c>
      <c r="Q630" s="11">
        <f t="shared" ca="1" si="128"/>
        <v>150</v>
      </c>
      <c r="R630" s="24">
        <v>200</v>
      </c>
      <c r="S630" s="24">
        <v>10</v>
      </c>
      <c r="T630" s="24">
        <f t="shared" ca="1" si="129"/>
        <v>1008</v>
      </c>
    </row>
    <row r="631" spans="1:20" x14ac:dyDescent="0.45">
      <c r="A631" s="11">
        <v>618</v>
      </c>
      <c r="B631" s="11">
        <f t="shared" ca="1" si="117"/>
        <v>0.88101326272126901</v>
      </c>
      <c r="C631" s="11">
        <f t="shared" ca="1" si="118"/>
        <v>1700</v>
      </c>
      <c r="D631" s="11">
        <f t="shared" ca="1" si="119"/>
        <v>0.21881505867076856</v>
      </c>
      <c r="E631" s="11">
        <f t="shared" ca="1" si="120"/>
        <v>1100</v>
      </c>
      <c r="F631" s="11">
        <f t="shared" ca="1" si="121"/>
        <v>8.0051803890769047E-2</v>
      </c>
      <c r="G631" s="11">
        <f t="shared" ca="1" si="122"/>
        <v>1000</v>
      </c>
      <c r="H631" s="11">
        <f t="shared" ca="1" si="123"/>
        <v>1000</v>
      </c>
      <c r="I631" s="11">
        <f t="shared" ca="1" si="124"/>
        <v>0.48884696754929791</v>
      </c>
      <c r="J631" s="11">
        <f t="shared" ca="1" si="125"/>
        <v>5</v>
      </c>
      <c r="K631" s="24">
        <v>96</v>
      </c>
      <c r="L631" s="24">
        <f t="shared" ca="1" si="126"/>
        <v>50</v>
      </c>
      <c r="M631" s="24">
        <v>400</v>
      </c>
      <c r="N631" s="24">
        <v>20</v>
      </c>
      <c r="O631" s="24">
        <f t="shared" ca="1" si="127"/>
        <v>566</v>
      </c>
      <c r="P631" s="24">
        <v>649</v>
      </c>
      <c r="Q631" s="11">
        <f t="shared" ca="1" si="128"/>
        <v>50</v>
      </c>
      <c r="R631" s="24">
        <v>200</v>
      </c>
      <c r="S631" s="24">
        <v>10</v>
      </c>
      <c r="T631" s="24">
        <f t="shared" ca="1" si="129"/>
        <v>909</v>
      </c>
    </row>
    <row r="632" spans="1:20" x14ac:dyDescent="0.45">
      <c r="A632" s="11">
        <v>619</v>
      </c>
      <c r="B632" s="11">
        <f t="shared" ca="1" si="117"/>
        <v>0.17672053352752282</v>
      </c>
      <c r="C632" s="11">
        <f t="shared" ca="1" si="118"/>
        <v>1100</v>
      </c>
      <c r="D632" s="11">
        <f t="shared" ca="1" si="119"/>
        <v>0.86227023601195285</v>
      </c>
      <c r="E632" s="11">
        <f t="shared" ca="1" si="120"/>
        <v>1700</v>
      </c>
      <c r="F632" s="11">
        <f t="shared" ca="1" si="121"/>
        <v>0.99590828242671914</v>
      </c>
      <c r="G632" s="11">
        <f t="shared" ca="1" si="122"/>
        <v>1900</v>
      </c>
      <c r="H632" s="11">
        <f t="shared" ca="1" si="123"/>
        <v>1100</v>
      </c>
      <c r="I632" s="11">
        <f t="shared" ca="1" si="124"/>
        <v>0.11509037100827302</v>
      </c>
      <c r="J632" s="11">
        <f t="shared" ca="1" si="125"/>
        <v>5</v>
      </c>
      <c r="K632" s="24">
        <v>96</v>
      </c>
      <c r="L632" s="24">
        <f t="shared" ca="1" si="126"/>
        <v>50</v>
      </c>
      <c r="M632" s="24">
        <v>400</v>
      </c>
      <c r="N632" s="24">
        <v>20</v>
      </c>
      <c r="O632" s="24">
        <f t="shared" ca="1" si="127"/>
        <v>566</v>
      </c>
      <c r="P632" s="24">
        <v>650</v>
      </c>
      <c r="Q632" s="11">
        <f t="shared" ca="1" si="128"/>
        <v>50</v>
      </c>
      <c r="R632" s="24">
        <v>200</v>
      </c>
      <c r="S632" s="24">
        <v>10</v>
      </c>
      <c r="T632" s="24">
        <f t="shared" ca="1" si="129"/>
        <v>910</v>
      </c>
    </row>
    <row r="633" spans="1:20" x14ac:dyDescent="0.45">
      <c r="A633" s="11">
        <v>620</v>
      </c>
      <c r="B633" s="11">
        <f t="shared" ca="1" si="117"/>
        <v>0.89037056239978918</v>
      </c>
      <c r="C633" s="11">
        <f t="shared" ca="1" si="118"/>
        <v>1700</v>
      </c>
      <c r="D633" s="11">
        <f t="shared" ca="1" si="119"/>
        <v>0.36620418504988128</v>
      </c>
      <c r="E633" s="11">
        <f t="shared" ca="1" si="120"/>
        <v>1200</v>
      </c>
      <c r="F633" s="11">
        <f t="shared" ca="1" si="121"/>
        <v>0.87919137593796293</v>
      </c>
      <c r="G633" s="11">
        <f t="shared" ca="1" si="122"/>
        <v>1700</v>
      </c>
      <c r="H633" s="11">
        <f t="shared" ca="1" si="123"/>
        <v>1200</v>
      </c>
      <c r="I633" s="11">
        <f t="shared" ca="1" si="124"/>
        <v>0.35673643296388191</v>
      </c>
      <c r="J633" s="11">
        <f t="shared" ca="1" si="125"/>
        <v>5</v>
      </c>
      <c r="K633" s="24">
        <v>96</v>
      </c>
      <c r="L633" s="24">
        <f t="shared" ca="1" si="126"/>
        <v>50</v>
      </c>
      <c r="M633" s="24">
        <v>400</v>
      </c>
      <c r="N633" s="24">
        <v>20</v>
      </c>
      <c r="O633" s="24">
        <f t="shared" ca="1" si="127"/>
        <v>566</v>
      </c>
      <c r="P633" s="24">
        <v>651</v>
      </c>
      <c r="Q633" s="11">
        <f t="shared" ca="1" si="128"/>
        <v>50</v>
      </c>
      <c r="R633" s="24">
        <v>200</v>
      </c>
      <c r="S633" s="24">
        <v>10</v>
      </c>
      <c r="T633" s="24">
        <f t="shared" ca="1" si="129"/>
        <v>911</v>
      </c>
    </row>
    <row r="634" spans="1:20" x14ac:dyDescent="0.45">
      <c r="A634" s="11">
        <v>621</v>
      </c>
      <c r="B634" s="11">
        <f t="shared" ca="1" si="117"/>
        <v>0.41924976190427055</v>
      </c>
      <c r="C634" s="11">
        <f t="shared" ca="1" si="118"/>
        <v>1200</v>
      </c>
      <c r="D634" s="11">
        <f t="shared" ca="1" si="119"/>
        <v>0.25455697929784071</v>
      </c>
      <c r="E634" s="11">
        <f t="shared" ca="1" si="120"/>
        <v>1200</v>
      </c>
      <c r="F634" s="11">
        <f t="shared" ca="1" si="121"/>
        <v>0.32725988736261924</v>
      </c>
      <c r="G634" s="11">
        <f t="shared" ca="1" si="122"/>
        <v>1200</v>
      </c>
      <c r="H634" s="11">
        <f t="shared" ca="1" si="123"/>
        <v>1200</v>
      </c>
      <c r="I634" s="11">
        <f t="shared" ca="1" si="124"/>
        <v>0.46508777438296245</v>
      </c>
      <c r="J634" s="11">
        <f t="shared" ca="1" si="125"/>
        <v>5</v>
      </c>
      <c r="K634" s="24">
        <v>96</v>
      </c>
      <c r="L634" s="24">
        <f t="shared" ca="1" si="126"/>
        <v>50</v>
      </c>
      <c r="M634" s="24">
        <v>400</v>
      </c>
      <c r="N634" s="24">
        <v>20</v>
      </c>
      <c r="O634" s="24">
        <f t="shared" ca="1" si="127"/>
        <v>566</v>
      </c>
      <c r="P634" s="24">
        <v>652</v>
      </c>
      <c r="Q634" s="11">
        <f t="shared" ca="1" si="128"/>
        <v>50</v>
      </c>
      <c r="R634" s="24">
        <v>200</v>
      </c>
      <c r="S634" s="24">
        <v>10</v>
      </c>
      <c r="T634" s="24">
        <f t="shared" ca="1" si="129"/>
        <v>912</v>
      </c>
    </row>
    <row r="635" spans="1:20" x14ac:dyDescent="0.45">
      <c r="A635" s="11">
        <v>622</v>
      </c>
      <c r="B635" s="11">
        <f t="shared" ca="1" si="117"/>
        <v>0.41908954782280683</v>
      </c>
      <c r="C635" s="11">
        <f t="shared" ca="1" si="118"/>
        <v>1200</v>
      </c>
      <c r="D635" s="11">
        <f t="shared" ca="1" si="119"/>
        <v>0.4029892340475083</v>
      </c>
      <c r="E635" s="11">
        <f t="shared" ca="1" si="120"/>
        <v>1200</v>
      </c>
      <c r="F635" s="11">
        <f t="shared" ca="1" si="121"/>
        <v>0.81438482006403745</v>
      </c>
      <c r="G635" s="11">
        <f t="shared" ca="1" si="122"/>
        <v>1500</v>
      </c>
      <c r="H635" s="11">
        <f t="shared" ca="1" si="123"/>
        <v>1200</v>
      </c>
      <c r="I635" s="11">
        <f t="shared" ca="1" si="124"/>
        <v>0.12947767855483971</v>
      </c>
      <c r="J635" s="11">
        <f t="shared" ca="1" si="125"/>
        <v>5</v>
      </c>
      <c r="K635" s="24">
        <v>96</v>
      </c>
      <c r="L635" s="24">
        <f t="shared" ca="1" si="126"/>
        <v>50</v>
      </c>
      <c r="M635" s="24">
        <v>400</v>
      </c>
      <c r="N635" s="24">
        <v>20</v>
      </c>
      <c r="O635" s="24">
        <f t="shared" ca="1" si="127"/>
        <v>566</v>
      </c>
      <c r="P635" s="24">
        <v>653</v>
      </c>
      <c r="Q635" s="11">
        <f t="shared" ca="1" si="128"/>
        <v>50</v>
      </c>
      <c r="R635" s="24">
        <v>200</v>
      </c>
      <c r="S635" s="24">
        <v>10</v>
      </c>
      <c r="T635" s="24">
        <f t="shared" ca="1" si="129"/>
        <v>913</v>
      </c>
    </row>
    <row r="636" spans="1:20" x14ac:dyDescent="0.45">
      <c r="A636" s="11">
        <v>623</v>
      </c>
      <c r="B636" s="11">
        <f t="shared" ca="1" si="117"/>
        <v>2.1769901684863036E-2</v>
      </c>
      <c r="C636" s="11">
        <f t="shared" ca="1" si="118"/>
        <v>1000</v>
      </c>
      <c r="D636" s="11">
        <f t="shared" ca="1" si="119"/>
        <v>0.59905374962100344</v>
      </c>
      <c r="E636" s="11">
        <f t="shared" ca="1" si="120"/>
        <v>1300</v>
      </c>
      <c r="F636" s="11">
        <f t="shared" ca="1" si="121"/>
        <v>0.98996219649559891</v>
      </c>
      <c r="G636" s="11">
        <f t="shared" ca="1" si="122"/>
        <v>1900</v>
      </c>
      <c r="H636" s="11">
        <f t="shared" ca="1" si="123"/>
        <v>1000</v>
      </c>
      <c r="I636" s="11">
        <f t="shared" ca="1" si="124"/>
        <v>0.37215627842797805</v>
      </c>
      <c r="J636" s="11">
        <f t="shared" ca="1" si="125"/>
        <v>5</v>
      </c>
      <c r="K636" s="24">
        <v>96</v>
      </c>
      <c r="L636" s="24">
        <f t="shared" ca="1" si="126"/>
        <v>50</v>
      </c>
      <c r="M636" s="24">
        <v>400</v>
      </c>
      <c r="N636" s="24">
        <v>20</v>
      </c>
      <c r="O636" s="24">
        <f t="shared" ca="1" si="127"/>
        <v>566</v>
      </c>
      <c r="P636" s="24">
        <v>654</v>
      </c>
      <c r="Q636" s="11">
        <f t="shared" ca="1" si="128"/>
        <v>50</v>
      </c>
      <c r="R636" s="24">
        <v>200</v>
      </c>
      <c r="S636" s="24">
        <v>10</v>
      </c>
      <c r="T636" s="24">
        <f t="shared" ca="1" si="129"/>
        <v>914</v>
      </c>
    </row>
    <row r="637" spans="1:20" x14ac:dyDescent="0.45">
      <c r="A637" s="11">
        <v>624</v>
      </c>
      <c r="B637" s="11">
        <f t="shared" ca="1" si="117"/>
        <v>0.17408307627385167</v>
      </c>
      <c r="C637" s="11">
        <f t="shared" ca="1" si="118"/>
        <v>1100</v>
      </c>
      <c r="D637" s="11">
        <f t="shared" ca="1" si="119"/>
        <v>0.9775430065784152</v>
      </c>
      <c r="E637" s="11">
        <f t="shared" ca="1" si="120"/>
        <v>1900</v>
      </c>
      <c r="F637" s="11">
        <f t="shared" ca="1" si="121"/>
        <v>0.70247228475083934</v>
      </c>
      <c r="G637" s="11">
        <f t="shared" ca="1" si="122"/>
        <v>1500</v>
      </c>
      <c r="H637" s="11">
        <f t="shared" ca="1" si="123"/>
        <v>1100</v>
      </c>
      <c r="I637" s="11">
        <f t="shared" ca="1" si="124"/>
        <v>0.79730186863924668</v>
      </c>
      <c r="J637" s="11">
        <f t="shared" ca="1" si="125"/>
        <v>10</v>
      </c>
      <c r="K637" s="24">
        <v>96</v>
      </c>
      <c r="L637" s="24">
        <f t="shared" ca="1" si="126"/>
        <v>100</v>
      </c>
      <c r="M637" s="24">
        <v>400</v>
      </c>
      <c r="N637" s="24">
        <v>20</v>
      </c>
      <c r="O637" s="24">
        <f t="shared" ca="1" si="127"/>
        <v>616</v>
      </c>
      <c r="P637" s="24">
        <v>655</v>
      </c>
      <c r="Q637" s="11">
        <f t="shared" ca="1" si="128"/>
        <v>100</v>
      </c>
      <c r="R637" s="24">
        <v>200</v>
      </c>
      <c r="S637" s="24">
        <v>10</v>
      </c>
      <c r="T637" s="24">
        <f t="shared" ca="1" si="129"/>
        <v>965</v>
      </c>
    </row>
    <row r="638" spans="1:20" x14ac:dyDescent="0.45">
      <c r="A638" s="11">
        <v>625</v>
      </c>
      <c r="B638" s="11">
        <f t="shared" ca="1" si="117"/>
        <v>0.36590684484164837</v>
      </c>
      <c r="C638" s="11">
        <f t="shared" ca="1" si="118"/>
        <v>1200</v>
      </c>
      <c r="D638" s="11">
        <f t="shared" ca="1" si="119"/>
        <v>0.19744955255463681</v>
      </c>
      <c r="E638" s="11">
        <f t="shared" ca="1" si="120"/>
        <v>1100</v>
      </c>
      <c r="F638" s="11">
        <f t="shared" ca="1" si="121"/>
        <v>0.42668705223321379</v>
      </c>
      <c r="G638" s="11">
        <f t="shared" ca="1" si="122"/>
        <v>1200</v>
      </c>
      <c r="H638" s="11">
        <f t="shared" ca="1" si="123"/>
        <v>1100</v>
      </c>
      <c r="I638" s="11">
        <f t="shared" ca="1" si="124"/>
        <v>7.6329359286153142E-2</v>
      </c>
      <c r="J638" s="11">
        <f t="shared" ca="1" si="125"/>
        <v>5</v>
      </c>
      <c r="K638" s="24">
        <v>96</v>
      </c>
      <c r="L638" s="24">
        <f t="shared" ca="1" si="126"/>
        <v>50</v>
      </c>
      <c r="M638" s="24">
        <v>400</v>
      </c>
      <c r="N638" s="24">
        <v>20</v>
      </c>
      <c r="O638" s="24">
        <f t="shared" ca="1" si="127"/>
        <v>566</v>
      </c>
      <c r="P638" s="24">
        <v>656</v>
      </c>
      <c r="Q638" s="11">
        <f t="shared" ca="1" si="128"/>
        <v>50</v>
      </c>
      <c r="R638" s="24">
        <v>200</v>
      </c>
      <c r="S638" s="24">
        <v>10</v>
      </c>
      <c r="T638" s="24">
        <f t="shared" ca="1" si="129"/>
        <v>916</v>
      </c>
    </row>
    <row r="639" spans="1:20" x14ac:dyDescent="0.45">
      <c r="A639" s="11">
        <v>626</v>
      </c>
      <c r="B639" s="11">
        <f t="shared" ca="1" si="117"/>
        <v>0.48114993784593862</v>
      </c>
      <c r="C639" s="11">
        <f t="shared" ca="1" si="118"/>
        <v>1300</v>
      </c>
      <c r="D639" s="11">
        <f t="shared" ca="1" si="119"/>
        <v>0.59886293657671164</v>
      </c>
      <c r="E639" s="11">
        <f t="shared" ca="1" si="120"/>
        <v>1300</v>
      </c>
      <c r="F639" s="11">
        <f t="shared" ca="1" si="121"/>
        <v>0.17829939450977583</v>
      </c>
      <c r="G639" s="11">
        <f t="shared" ca="1" si="122"/>
        <v>1100</v>
      </c>
      <c r="H639" s="11">
        <f t="shared" ca="1" si="123"/>
        <v>1100</v>
      </c>
      <c r="I639" s="11">
        <f t="shared" ca="1" si="124"/>
        <v>0.34339719037136585</v>
      </c>
      <c r="J639" s="11">
        <f t="shared" ca="1" si="125"/>
        <v>5</v>
      </c>
      <c r="K639" s="24">
        <v>96</v>
      </c>
      <c r="L639" s="24">
        <f t="shared" ca="1" si="126"/>
        <v>50</v>
      </c>
      <c r="M639" s="24">
        <v>400</v>
      </c>
      <c r="N639" s="24">
        <v>20</v>
      </c>
      <c r="O639" s="24">
        <f t="shared" ca="1" si="127"/>
        <v>566</v>
      </c>
      <c r="P639" s="24">
        <v>657</v>
      </c>
      <c r="Q639" s="11">
        <f t="shared" ca="1" si="128"/>
        <v>50</v>
      </c>
      <c r="R639" s="24">
        <v>200</v>
      </c>
      <c r="S639" s="24">
        <v>10</v>
      </c>
      <c r="T639" s="24">
        <f t="shared" ca="1" si="129"/>
        <v>917</v>
      </c>
    </row>
    <row r="640" spans="1:20" x14ac:dyDescent="0.45">
      <c r="A640" s="11">
        <v>627</v>
      </c>
      <c r="B640" s="11">
        <f t="shared" ca="1" si="117"/>
        <v>0.6636595651796966</v>
      </c>
      <c r="C640" s="11">
        <f t="shared" ca="1" si="118"/>
        <v>1400</v>
      </c>
      <c r="D640" s="11">
        <f t="shared" ca="1" si="119"/>
        <v>0.65764828773033468</v>
      </c>
      <c r="E640" s="11">
        <f t="shared" ca="1" si="120"/>
        <v>1400</v>
      </c>
      <c r="F640" s="11">
        <f t="shared" ca="1" si="121"/>
        <v>0.86173115057833527</v>
      </c>
      <c r="G640" s="11">
        <f t="shared" ca="1" si="122"/>
        <v>1700</v>
      </c>
      <c r="H640" s="11">
        <f t="shared" ca="1" si="123"/>
        <v>1400</v>
      </c>
      <c r="I640" s="11">
        <f t="shared" ca="1" si="124"/>
        <v>0.40161414660427408</v>
      </c>
      <c r="J640" s="11">
        <f t="shared" ca="1" si="125"/>
        <v>5</v>
      </c>
      <c r="K640" s="24">
        <v>96</v>
      </c>
      <c r="L640" s="24">
        <f t="shared" ca="1" si="126"/>
        <v>50</v>
      </c>
      <c r="M640" s="24">
        <v>400</v>
      </c>
      <c r="N640" s="24">
        <v>20</v>
      </c>
      <c r="O640" s="24">
        <f t="shared" ca="1" si="127"/>
        <v>566</v>
      </c>
      <c r="P640" s="24">
        <v>658</v>
      </c>
      <c r="Q640" s="11">
        <f t="shared" ca="1" si="128"/>
        <v>50</v>
      </c>
      <c r="R640" s="24">
        <v>200</v>
      </c>
      <c r="S640" s="24">
        <v>10</v>
      </c>
      <c r="T640" s="24">
        <f t="shared" ca="1" si="129"/>
        <v>918</v>
      </c>
    </row>
    <row r="641" spans="1:20" x14ac:dyDescent="0.45">
      <c r="A641" s="11">
        <v>628</v>
      </c>
      <c r="B641" s="11">
        <f t="shared" ca="1" si="117"/>
        <v>3.7657390210502517E-2</v>
      </c>
      <c r="C641" s="11">
        <f t="shared" ca="1" si="118"/>
        <v>1000</v>
      </c>
      <c r="D641" s="11">
        <f t="shared" ca="1" si="119"/>
        <v>0.2961819974799188</v>
      </c>
      <c r="E641" s="11">
        <f t="shared" ca="1" si="120"/>
        <v>1200</v>
      </c>
      <c r="F641" s="11">
        <f t="shared" ca="1" si="121"/>
        <v>0.93189337815575612</v>
      </c>
      <c r="G641" s="11">
        <f t="shared" ca="1" si="122"/>
        <v>1800</v>
      </c>
      <c r="H641" s="11">
        <f t="shared" ca="1" si="123"/>
        <v>1000</v>
      </c>
      <c r="I641" s="11">
        <f t="shared" ca="1" si="124"/>
        <v>0.18074322260335185</v>
      </c>
      <c r="J641" s="11">
        <f t="shared" ca="1" si="125"/>
        <v>5</v>
      </c>
      <c r="K641" s="24">
        <v>96</v>
      </c>
      <c r="L641" s="24">
        <f t="shared" ca="1" si="126"/>
        <v>50</v>
      </c>
      <c r="M641" s="24">
        <v>400</v>
      </c>
      <c r="N641" s="24">
        <v>20</v>
      </c>
      <c r="O641" s="24">
        <f t="shared" ca="1" si="127"/>
        <v>566</v>
      </c>
      <c r="P641" s="24">
        <v>659</v>
      </c>
      <c r="Q641" s="11">
        <f t="shared" ca="1" si="128"/>
        <v>50</v>
      </c>
      <c r="R641" s="24">
        <v>200</v>
      </c>
      <c r="S641" s="24">
        <v>10</v>
      </c>
      <c r="T641" s="24">
        <f t="shared" ca="1" si="129"/>
        <v>919</v>
      </c>
    </row>
    <row r="642" spans="1:20" x14ac:dyDescent="0.45">
      <c r="A642" s="11">
        <v>629</v>
      </c>
      <c r="B642" s="11">
        <f t="shared" ca="1" si="117"/>
        <v>0.83353794000608261</v>
      </c>
      <c r="C642" s="11">
        <f t="shared" ca="1" si="118"/>
        <v>1600</v>
      </c>
      <c r="D642" s="11">
        <f t="shared" ca="1" si="119"/>
        <v>0.81370252491758688</v>
      </c>
      <c r="E642" s="11">
        <f t="shared" ca="1" si="120"/>
        <v>1500</v>
      </c>
      <c r="F642" s="11">
        <f t="shared" ca="1" si="121"/>
        <v>0.99899364663180812</v>
      </c>
      <c r="G642" s="11">
        <f t="shared" ca="1" si="122"/>
        <v>1900</v>
      </c>
      <c r="H642" s="11">
        <f t="shared" ca="1" si="123"/>
        <v>1500</v>
      </c>
      <c r="I642" s="11">
        <f t="shared" ca="1" si="124"/>
        <v>0.61757403854865056</v>
      </c>
      <c r="J642" s="11">
        <f t="shared" ca="1" si="125"/>
        <v>10</v>
      </c>
      <c r="K642" s="24">
        <v>96</v>
      </c>
      <c r="L642" s="24">
        <f t="shared" ca="1" si="126"/>
        <v>100</v>
      </c>
      <c r="M642" s="24">
        <v>400</v>
      </c>
      <c r="N642" s="24">
        <v>20</v>
      </c>
      <c r="O642" s="24">
        <f t="shared" ca="1" si="127"/>
        <v>616</v>
      </c>
      <c r="P642" s="24">
        <v>660</v>
      </c>
      <c r="Q642" s="11">
        <f t="shared" ca="1" si="128"/>
        <v>100</v>
      </c>
      <c r="R642" s="24">
        <v>200</v>
      </c>
      <c r="S642" s="24">
        <v>10</v>
      </c>
      <c r="T642" s="24">
        <f t="shared" ca="1" si="129"/>
        <v>970</v>
      </c>
    </row>
    <row r="643" spans="1:20" x14ac:dyDescent="0.45">
      <c r="A643" s="11">
        <v>630</v>
      </c>
      <c r="B643" s="11">
        <f t="shared" ca="1" si="117"/>
        <v>0.33405849370151741</v>
      </c>
      <c r="C643" s="11">
        <f t="shared" ca="1" si="118"/>
        <v>1200</v>
      </c>
      <c r="D643" s="11">
        <f t="shared" ca="1" si="119"/>
        <v>0.25508095334562186</v>
      </c>
      <c r="E643" s="11">
        <f t="shared" ca="1" si="120"/>
        <v>1200</v>
      </c>
      <c r="F643" s="11">
        <f t="shared" ca="1" si="121"/>
        <v>3.3617307128464002E-2</v>
      </c>
      <c r="G643" s="11">
        <f t="shared" ca="1" si="122"/>
        <v>1000</v>
      </c>
      <c r="H643" s="11">
        <f t="shared" ca="1" si="123"/>
        <v>1000</v>
      </c>
      <c r="I643" s="11">
        <f t="shared" ca="1" si="124"/>
        <v>0.4965274057007949</v>
      </c>
      <c r="J643" s="11">
        <f t="shared" ca="1" si="125"/>
        <v>5</v>
      </c>
      <c r="K643" s="24">
        <v>96</v>
      </c>
      <c r="L643" s="24">
        <f t="shared" ca="1" si="126"/>
        <v>50</v>
      </c>
      <c r="M643" s="24">
        <v>400</v>
      </c>
      <c r="N643" s="24">
        <v>20</v>
      </c>
      <c r="O643" s="24">
        <f t="shared" ca="1" si="127"/>
        <v>566</v>
      </c>
      <c r="P643" s="24">
        <v>661</v>
      </c>
      <c r="Q643" s="11">
        <f t="shared" ca="1" si="128"/>
        <v>50</v>
      </c>
      <c r="R643" s="24">
        <v>200</v>
      </c>
      <c r="S643" s="24">
        <v>10</v>
      </c>
      <c r="T643" s="24">
        <f t="shared" ca="1" si="129"/>
        <v>921</v>
      </c>
    </row>
    <row r="644" spans="1:20" x14ac:dyDescent="0.45">
      <c r="A644" s="11">
        <v>631</v>
      </c>
      <c r="B644" s="11">
        <f t="shared" ca="1" si="117"/>
        <v>3.1363572865874545E-2</v>
      </c>
      <c r="C644" s="11">
        <f t="shared" ca="1" si="118"/>
        <v>1000</v>
      </c>
      <c r="D644" s="11">
        <f t="shared" ca="1" si="119"/>
        <v>0.43844646229307072</v>
      </c>
      <c r="E644" s="11">
        <f t="shared" ca="1" si="120"/>
        <v>1200</v>
      </c>
      <c r="F644" s="11">
        <f t="shared" ca="1" si="121"/>
        <v>0.56566636324894581</v>
      </c>
      <c r="G644" s="11">
        <f t="shared" ca="1" si="122"/>
        <v>1300</v>
      </c>
      <c r="H644" s="11">
        <f t="shared" ca="1" si="123"/>
        <v>1000</v>
      </c>
      <c r="I644" s="11">
        <f t="shared" ca="1" si="124"/>
        <v>0.71352220537474365</v>
      </c>
      <c r="J644" s="11">
        <f t="shared" ca="1" si="125"/>
        <v>10</v>
      </c>
      <c r="K644" s="24">
        <v>96</v>
      </c>
      <c r="L644" s="24">
        <f t="shared" ca="1" si="126"/>
        <v>100</v>
      </c>
      <c r="M644" s="24">
        <v>400</v>
      </c>
      <c r="N644" s="24">
        <v>20</v>
      </c>
      <c r="O644" s="24">
        <f t="shared" ca="1" si="127"/>
        <v>616</v>
      </c>
      <c r="P644" s="24">
        <v>662</v>
      </c>
      <c r="Q644" s="11">
        <f t="shared" ca="1" si="128"/>
        <v>100</v>
      </c>
      <c r="R644" s="24">
        <v>200</v>
      </c>
      <c r="S644" s="24">
        <v>10</v>
      </c>
      <c r="T644" s="24">
        <f t="shared" ca="1" si="129"/>
        <v>972</v>
      </c>
    </row>
    <row r="645" spans="1:20" x14ac:dyDescent="0.45">
      <c r="A645" s="11">
        <v>632</v>
      </c>
      <c r="B645" s="11">
        <f t="shared" ca="1" si="117"/>
        <v>0.9232887125766065</v>
      </c>
      <c r="C645" s="11">
        <f t="shared" ca="1" si="118"/>
        <v>1800</v>
      </c>
      <c r="D645" s="11">
        <f t="shared" ca="1" si="119"/>
        <v>0.69372889206965771</v>
      </c>
      <c r="E645" s="11">
        <f t="shared" ca="1" si="120"/>
        <v>1400</v>
      </c>
      <c r="F645" s="11">
        <f t="shared" ca="1" si="121"/>
        <v>0.73426761675238883</v>
      </c>
      <c r="G645" s="11">
        <f t="shared" ca="1" si="122"/>
        <v>1500</v>
      </c>
      <c r="H645" s="11">
        <f t="shared" ca="1" si="123"/>
        <v>1400</v>
      </c>
      <c r="I645" s="11">
        <f t="shared" ca="1" si="124"/>
        <v>0.86408511143210331</v>
      </c>
      <c r="J645" s="11">
        <f t="shared" ca="1" si="125"/>
        <v>10</v>
      </c>
      <c r="K645" s="24">
        <v>96</v>
      </c>
      <c r="L645" s="24">
        <f t="shared" ca="1" si="126"/>
        <v>100</v>
      </c>
      <c r="M645" s="24">
        <v>400</v>
      </c>
      <c r="N645" s="24">
        <v>20</v>
      </c>
      <c r="O645" s="24">
        <f t="shared" ca="1" si="127"/>
        <v>616</v>
      </c>
      <c r="P645" s="24">
        <v>663</v>
      </c>
      <c r="Q645" s="11">
        <f t="shared" ca="1" si="128"/>
        <v>100</v>
      </c>
      <c r="R645" s="24">
        <v>200</v>
      </c>
      <c r="S645" s="24">
        <v>10</v>
      </c>
      <c r="T645" s="24">
        <f t="shared" ca="1" si="129"/>
        <v>973</v>
      </c>
    </row>
    <row r="646" spans="1:20" x14ac:dyDescent="0.45">
      <c r="A646" s="11">
        <v>633</v>
      </c>
      <c r="B646" s="11">
        <f t="shared" ca="1" si="117"/>
        <v>0.16360068655317461</v>
      </c>
      <c r="C646" s="11">
        <f t="shared" ca="1" si="118"/>
        <v>1100</v>
      </c>
      <c r="D646" s="11">
        <f t="shared" ca="1" si="119"/>
        <v>0.13880879707402216</v>
      </c>
      <c r="E646" s="11">
        <f t="shared" ca="1" si="120"/>
        <v>1100</v>
      </c>
      <c r="F646" s="11">
        <f t="shared" ca="1" si="121"/>
        <v>0.79964866826561287</v>
      </c>
      <c r="G646" s="11">
        <f t="shared" ca="1" si="122"/>
        <v>1500</v>
      </c>
      <c r="H646" s="11">
        <f t="shared" ca="1" si="123"/>
        <v>1100</v>
      </c>
      <c r="I646" s="11">
        <f t="shared" ca="1" si="124"/>
        <v>0.50781489793814694</v>
      </c>
      <c r="J646" s="11">
        <f t="shared" ca="1" si="125"/>
        <v>5</v>
      </c>
      <c r="K646" s="24">
        <v>96</v>
      </c>
      <c r="L646" s="24">
        <f t="shared" ca="1" si="126"/>
        <v>50</v>
      </c>
      <c r="M646" s="24">
        <v>400</v>
      </c>
      <c r="N646" s="24">
        <v>20</v>
      </c>
      <c r="O646" s="24">
        <f t="shared" ca="1" si="127"/>
        <v>566</v>
      </c>
      <c r="P646" s="24">
        <v>664</v>
      </c>
      <c r="Q646" s="11">
        <f t="shared" ca="1" si="128"/>
        <v>50</v>
      </c>
      <c r="R646" s="24">
        <v>200</v>
      </c>
      <c r="S646" s="24">
        <v>10</v>
      </c>
      <c r="T646" s="24">
        <f t="shared" ca="1" si="129"/>
        <v>924</v>
      </c>
    </row>
    <row r="647" spans="1:20" x14ac:dyDescent="0.45">
      <c r="A647" s="11">
        <v>634</v>
      </c>
      <c r="B647" s="11">
        <f t="shared" ca="1" si="117"/>
        <v>0.85998372051217487</v>
      </c>
      <c r="C647" s="11">
        <f t="shared" ca="1" si="118"/>
        <v>1700</v>
      </c>
      <c r="D647" s="11">
        <f t="shared" ca="1" si="119"/>
        <v>0.16888017028572055</v>
      </c>
      <c r="E647" s="11">
        <f t="shared" ca="1" si="120"/>
        <v>1100</v>
      </c>
      <c r="F647" s="11">
        <f t="shared" ca="1" si="121"/>
        <v>0.28577026891727508</v>
      </c>
      <c r="G647" s="11">
        <f t="shared" ca="1" si="122"/>
        <v>1200</v>
      </c>
      <c r="H647" s="11">
        <f t="shared" ca="1" si="123"/>
        <v>1100</v>
      </c>
      <c r="I647" s="11">
        <f t="shared" ca="1" si="124"/>
        <v>0.3635629943877986</v>
      </c>
      <c r="J647" s="11">
        <f t="shared" ca="1" si="125"/>
        <v>5</v>
      </c>
      <c r="K647" s="24">
        <v>96</v>
      </c>
      <c r="L647" s="24">
        <f t="shared" ca="1" si="126"/>
        <v>50</v>
      </c>
      <c r="M647" s="24">
        <v>400</v>
      </c>
      <c r="N647" s="24">
        <v>20</v>
      </c>
      <c r="O647" s="24">
        <f t="shared" ca="1" si="127"/>
        <v>566</v>
      </c>
      <c r="P647" s="24">
        <v>665</v>
      </c>
      <c r="Q647" s="11">
        <f t="shared" ca="1" si="128"/>
        <v>50</v>
      </c>
      <c r="R647" s="24">
        <v>200</v>
      </c>
      <c r="S647" s="24">
        <v>10</v>
      </c>
      <c r="T647" s="24">
        <f t="shared" ca="1" si="129"/>
        <v>925</v>
      </c>
    </row>
    <row r="648" spans="1:20" x14ac:dyDescent="0.45">
      <c r="A648" s="11">
        <v>635</v>
      </c>
      <c r="B648" s="11">
        <f t="shared" ca="1" si="117"/>
        <v>0.83092804179446245</v>
      </c>
      <c r="C648" s="11">
        <f t="shared" ca="1" si="118"/>
        <v>1600</v>
      </c>
      <c r="D648" s="11">
        <f t="shared" ca="1" si="119"/>
        <v>0.43961380160950925</v>
      </c>
      <c r="E648" s="11">
        <f t="shared" ca="1" si="120"/>
        <v>1200</v>
      </c>
      <c r="F648" s="11">
        <f t="shared" ca="1" si="121"/>
        <v>0.81750805294663498</v>
      </c>
      <c r="G648" s="11">
        <f t="shared" ca="1" si="122"/>
        <v>1500</v>
      </c>
      <c r="H648" s="11">
        <f t="shared" ca="1" si="123"/>
        <v>1200</v>
      </c>
      <c r="I648" s="11">
        <f t="shared" ca="1" si="124"/>
        <v>0.3772561969339967</v>
      </c>
      <c r="J648" s="11">
        <f t="shared" ca="1" si="125"/>
        <v>5</v>
      </c>
      <c r="K648" s="24">
        <v>96</v>
      </c>
      <c r="L648" s="24">
        <f t="shared" ca="1" si="126"/>
        <v>50</v>
      </c>
      <c r="M648" s="24">
        <v>400</v>
      </c>
      <c r="N648" s="24">
        <v>20</v>
      </c>
      <c r="O648" s="24">
        <f t="shared" ca="1" si="127"/>
        <v>566</v>
      </c>
      <c r="P648" s="24">
        <v>666</v>
      </c>
      <c r="Q648" s="11">
        <f t="shared" ca="1" si="128"/>
        <v>50</v>
      </c>
      <c r="R648" s="24">
        <v>200</v>
      </c>
      <c r="S648" s="24">
        <v>10</v>
      </c>
      <c r="T648" s="24">
        <f t="shared" ca="1" si="129"/>
        <v>926</v>
      </c>
    </row>
    <row r="649" spans="1:20" x14ac:dyDescent="0.45">
      <c r="A649" s="11">
        <v>636</v>
      </c>
      <c r="B649" s="11">
        <f t="shared" ca="1" si="117"/>
        <v>0.96564061623628272</v>
      </c>
      <c r="C649" s="11">
        <f t="shared" ca="1" si="118"/>
        <v>1900</v>
      </c>
      <c r="D649" s="11">
        <f t="shared" ca="1" si="119"/>
        <v>0.46028607854203607</v>
      </c>
      <c r="E649" s="11">
        <f t="shared" ca="1" si="120"/>
        <v>1200</v>
      </c>
      <c r="F649" s="11">
        <f t="shared" ca="1" si="121"/>
        <v>0.58150912061184823</v>
      </c>
      <c r="G649" s="11">
        <f t="shared" ca="1" si="122"/>
        <v>1300</v>
      </c>
      <c r="H649" s="11">
        <f t="shared" ca="1" si="123"/>
        <v>1200</v>
      </c>
      <c r="I649" s="11">
        <f t="shared" ca="1" si="124"/>
        <v>0.67172508876742743</v>
      </c>
      <c r="J649" s="11">
        <f t="shared" ca="1" si="125"/>
        <v>10</v>
      </c>
      <c r="K649" s="24">
        <v>96</v>
      </c>
      <c r="L649" s="24">
        <f t="shared" ca="1" si="126"/>
        <v>100</v>
      </c>
      <c r="M649" s="24">
        <v>400</v>
      </c>
      <c r="N649" s="24">
        <v>20</v>
      </c>
      <c r="O649" s="24">
        <f t="shared" ca="1" si="127"/>
        <v>616</v>
      </c>
      <c r="P649" s="24">
        <v>667</v>
      </c>
      <c r="Q649" s="11">
        <f t="shared" ca="1" si="128"/>
        <v>100</v>
      </c>
      <c r="R649" s="24">
        <v>200</v>
      </c>
      <c r="S649" s="24">
        <v>10</v>
      </c>
      <c r="T649" s="24">
        <f t="shared" ca="1" si="129"/>
        <v>977</v>
      </c>
    </row>
    <row r="650" spans="1:20" x14ac:dyDescent="0.45">
      <c r="A650" s="11">
        <v>637</v>
      </c>
      <c r="B650" s="11">
        <f t="shared" ca="1" si="117"/>
        <v>0.49879940154583313</v>
      </c>
      <c r="C650" s="11">
        <f t="shared" ca="1" si="118"/>
        <v>1300</v>
      </c>
      <c r="D650" s="11">
        <f t="shared" ca="1" si="119"/>
        <v>0.57769541452524409</v>
      </c>
      <c r="E650" s="11">
        <f t="shared" ca="1" si="120"/>
        <v>1300</v>
      </c>
      <c r="F650" s="11">
        <f t="shared" ca="1" si="121"/>
        <v>0.82766253272918622</v>
      </c>
      <c r="G650" s="11">
        <f t="shared" ca="1" si="122"/>
        <v>1600</v>
      </c>
      <c r="H650" s="11">
        <f t="shared" ca="1" si="123"/>
        <v>1300</v>
      </c>
      <c r="I650" s="11">
        <f t="shared" ca="1" si="124"/>
        <v>0.4085083576283528</v>
      </c>
      <c r="J650" s="11">
        <f t="shared" ca="1" si="125"/>
        <v>5</v>
      </c>
      <c r="K650" s="24">
        <v>96</v>
      </c>
      <c r="L650" s="24">
        <f t="shared" ca="1" si="126"/>
        <v>50</v>
      </c>
      <c r="M650" s="24">
        <v>400</v>
      </c>
      <c r="N650" s="24">
        <v>20</v>
      </c>
      <c r="O650" s="24">
        <f t="shared" ca="1" si="127"/>
        <v>566</v>
      </c>
      <c r="P650" s="24">
        <v>668</v>
      </c>
      <c r="Q650" s="11">
        <f t="shared" ca="1" si="128"/>
        <v>50</v>
      </c>
      <c r="R650" s="24">
        <v>200</v>
      </c>
      <c r="S650" s="24">
        <v>10</v>
      </c>
      <c r="T650" s="24">
        <f t="shared" ca="1" si="129"/>
        <v>928</v>
      </c>
    </row>
    <row r="651" spans="1:20" x14ac:dyDescent="0.45">
      <c r="A651" s="11">
        <v>638</v>
      </c>
      <c r="B651" s="11">
        <f t="shared" ca="1" si="117"/>
        <v>0.23019362357333173</v>
      </c>
      <c r="C651" s="11">
        <f t="shared" ca="1" si="118"/>
        <v>1200</v>
      </c>
      <c r="D651" s="11">
        <f t="shared" ca="1" si="119"/>
        <v>0.48785499191702353</v>
      </c>
      <c r="E651" s="11">
        <f t="shared" ca="1" si="120"/>
        <v>1300</v>
      </c>
      <c r="F651" s="11">
        <f t="shared" ca="1" si="121"/>
        <v>0.74605157795252108</v>
      </c>
      <c r="G651" s="11">
        <f t="shared" ca="1" si="122"/>
        <v>1500</v>
      </c>
      <c r="H651" s="11">
        <f t="shared" ca="1" si="123"/>
        <v>1200</v>
      </c>
      <c r="I651" s="11">
        <f t="shared" ca="1" si="124"/>
        <v>0.31483653112169618</v>
      </c>
      <c r="J651" s="11">
        <f t="shared" ca="1" si="125"/>
        <v>5</v>
      </c>
      <c r="K651" s="24">
        <v>96</v>
      </c>
      <c r="L651" s="24">
        <f t="shared" ca="1" si="126"/>
        <v>50</v>
      </c>
      <c r="M651" s="24">
        <v>400</v>
      </c>
      <c r="N651" s="24">
        <v>20</v>
      </c>
      <c r="O651" s="24">
        <f t="shared" ca="1" si="127"/>
        <v>566</v>
      </c>
      <c r="P651" s="24">
        <v>669</v>
      </c>
      <c r="Q651" s="11">
        <f t="shared" ca="1" si="128"/>
        <v>50</v>
      </c>
      <c r="R651" s="24">
        <v>200</v>
      </c>
      <c r="S651" s="24">
        <v>10</v>
      </c>
      <c r="T651" s="24">
        <f t="shared" ca="1" si="129"/>
        <v>929</v>
      </c>
    </row>
    <row r="652" spans="1:20" x14ac:dyDescent="0.45">
      <c r="A652" s="11">
        <v>639</v>
      </c>
      <c r="B652" s="11">
        <f t="shared" ca="1" si="117"/>
        <v>0.74808985305809927</v>
      </c>
      <c r="C652" s="11">
        <f t="shared" ca="1" si="118"/>
        <v>1500</v>
      </c>
      <c r="D652" s="11">
        <f t="shared" ca="1" si="119"/>
        <v>0.14323463655055801</v>
      </c>
      <c r="E652" s="11">
        <f t="shared" ca="1" si="120"/>
        <v>1100</v>
      </c>
      <c r="F652" s="11">
        <f t="shared" ca="1" si="121"/>
        <v>0.63370188442979503</v>
      </c>
      <c r="G652" s="11">
        <f t="shared" ca="1" si="122"/>
        <v>1400</v>
      </c>
      <c r="H652" s="11">
        <f t="shared" ca="1" si="123"/>
        <v>1100</v>
      </c>
      <c r="I652" s="11">
        <f t="shared" ca="1" si="124"/>
        <v>0.84473268686839531</v>
      </c>
      <c r="J652" s="11">
        <f t="shared" ca="1" si="125"/>
        <v>10</v>
      </c>
      <c r="K652" s="24">
        <v>96</v>
      </c>
      <c r="L652" s="24">
        <f t="shared" ca="1" si="126"/>
        <v>100</v>
      </c>
      <c r="M652" s="24">
        <v>400</v>
      </c>
      <c r="N652" s="24">
        <v>20</v>
      </c>
      <c r="O652" s="24">
        <f t="shared" ca="1" si="127"/>
        <v>616</v>
      </c>
      <c r="P652" s="24">
        <v>670</v>
      </c>
      <c r="Q652" s="11">
        <f t="shared" ca="1" si="128"/>
        <v>100</v>
      </c>
      <c r="R652" s="24">
        <v>200</v>
      </c>
      <c r="S652" s="24">
        <v>10</v>
      </c>
      <c r="T652" s="24">
        <f t="shared" ca="1" si="129"/>
        <v>980</v>
      </c>
    </row>
    <row r="653" spans="1:20" x14ac:dyDescent="0.45">
      <c r="A653" s="11">
        <v>640</v>
      </c>
      <c r="B653" s="11">
        <f t="shared" ca="1" si="117"/>
        <v>4.0981705165399229E-2</v>
      </c>
      <c r="C653" s="11">
        <f t="shared" ca="1" si="118"/>
        <v>1000</v>
      </c>
      <c r="D653" s="11">
        <f t="shared" ca="1" si="119"/>
        <v>3.164810680105179E-2</v>
      </c>
      <c r="E653" s="11">
        <f t="shared" ca="1" si="120"/>
        <v>1000</v>
      </c>
      <c r="F653" s="11">
        <f t="shared" ca="1" si="121"/>
        <v>0.57401380146428616</v>
      </c>
      <c r="G653" s="11">
        <f t="shared" ca="1" si="122"/>
        <v>1300</v>
      </c>
      <c r="H653" s="11">
        <f t="shared" ca="1" si="123"/>
        <v>1000</v>
      </c>
      <c r="I653" s="11">
        <f t="shared" ca="1" si="124"/>
        <v>0.72797643374717347</v>
      </c>
      <c r="J653" s="11">
        <f t="shared" ca="1" si="125"/>
        <v>10</v>
      </c>
      <c r="K653" s="24">
        <v>96</v>
      </c>
      <c r="L653" s="24">
        <f t="shared" ca="1" si="126"/>
        <v>100</v>
      </c>
      <c r="M653" s="24">
        <v>400</v>
      </c>
      <c r="N653" s="24">
        <v>20</v>
      </c>
      <c r="O653" s="24">
        <f t="shared" ca="1" si="127"/>
        <v>616</v>
      </c>
      <c r="P653" s="24">
        <v>671</v>
      </c>
      <c r="Q653" s="11">
        <f t="shared" ca="1" si="128"/>
        <v>100</v>
      </c>
      <c r="R653" s="24">
        <v>200</v>
      </c>
      <c r="S653" s="24">
        <v>10</v>
      </c>
      <c r="T653" s="24">
        <f t="shared" ca="1" si="129"/>
        <v>981</v>
      </c>
    </row>
    <row r="654" spans="1:20" x14ac:dyDescent="0.45">
      <c r="A654" s="11">
        <v>641</v>
      </c>
      <c r="B654" s="11">
        <f t="shared" ca="1" si="117"/>
        <v>0.80917582401203481</v>
      </c>
      <c r="C654" s="11">
        <f t="shared" ca="1" si="118"/>
        <v>1500</v>
      </c>
      <c r="D654" s="11">
        <f t="shared" ca="1" si="119"/>
        <v>0.93387293594534337</v>
      </c>
      <c r="E654" s="11">
        <f t="shared" ca="1" si="120"/>
        <v>1800</v>
      </c>
      <c r="F654" s="11">
        <f t="shared" ca="1" si="121"/>
        <v>0.53462237687001879</v>
      </c>
      <c r="G654" s="11">
        <f t="shared" ca="1" si="122"/>
        <v>1300</v>
      </c>
      <c r="H654" s="11">
        <f t="shared" ca="1" si="123"/>
        <v>1300</v>
      </c>
      <c r="I654" s="11">
        <f t="shared" ca="1" si="124"/>
        <v>0.53371591552518338</v>
      </c>
      <c r="J654" s="11">
        <f t="shared" ca="1" si="125"/>
        <v>5</v>
      </c>
      <c r="K654" s="24">
        <v>96</v>
      </c>
      <c r="L654" s="24">
        <f t="shared" ca="1" si="126"/>
        <v>50</v>
      </c>
      <c r="M654" s="24">
        <v>400</v>
      </c>
      <c r="N654" s="24">
        <v>20</v>
      </c>
      <c r="O654" s="24">
        <f t="shared" ca="1" si="127"/>
        <v>566</v>
      </c>
      <c r="P654" s="24">
        <v>672</v>
      </c>
      <c r="Q654" s="11">
        <f t="shared" ca="1" si="128"/>
        <v>50</v>
      </c>
      <c r="R654" s="24">
        <v>200</v>
      </c>
      <c r="S654" s="24">
        <v>10</v>
      </c>
      <c r="T654" s="24">
        <f t="shared" ca="1" si="129"/>
        <v>932</v>
      </c>
    </row>
    <row r="655" spans="1:20" x14ac:dyDescent="0.45">
      <c r="A655" s="11">
        <v>642</v>
      </c>
      <c r="B655" s="11">
        <f t="shared" ref="B655:B718" ca="1" si="130">RAND()</f>
        <v>0.98085789299188364</v>
      </c>
      <c r="C655" s="11">
        <f t="shared" ref="C655:C718" ca="1" si="131">LOOKUP(B655, $C$2:$C$11, $A$2:$A$11)</f>
        <v>1900</v>
      </c>
      <c r="D655" s="11">
        <f t="shared" ref="D655:D718" ca="1" si="132">RAND()</f>
        <v>0.69729952483814317</v>
      </c>
      <c r="E655" s="11">
        <f t="shared" ref="E655:E718" ca="1" si="133">LOOKUP(D655, $C$2:$C$11, $A$2:$A$11)</f>
        <v>1400</v>
      </c>
      <c r="F655" s="11">
        <f t="shared" ref="F655:F718" ca="1" si="134">RAND()</f>
        <v>0.17441898348529294</v>
      </c>
      <c r="G655" s="11">
        <f t="shared" ref="G655:G718" ca="1" si="135">LOOKUP(F655, $C$2:$C$11, $A$2:$A$11)</f>
        <v>1100</v>
      </c>
      <c r="H655" s="11">
        <f t="shared" ref="H655:H718" ca="1" si="136">MIN(C655, E655, G655)</f>
        <v>1100</v>
      </c>
      <c r="I655" s="11">
        <f t="shared" ref="I655:I718" ca="1" si="137">RAND()</f>
        <v>0.55348440025293155</v>
      </c>
      <c r="J655" s="11">
        <f t="shared" ref="J655:J718" ca="1" si="138">LOOKUP(I655, $G$2:$G$4, $E$2:$E$4)</f>
        <v>5</v>
      </c>
      <c r="K655" s="24">
        <v>96</v>
      </c>
      <c r="L655" s="24">
        <f t="shared" ref="L655:L718" ca="1" si="139">J655*10</f>
        <v>50</v>
      </c>
      <c r="M655" s="24">
        <v>400</v>
      </c>
      <c r="N655" s="24">
        <v>20</v>
      </c>
      <c r="O655" s="24">
        <f t="shared" ref="O655:O718" ca="1" si="140">K655+L655+M655+N655</f>
        <v>566</v>
      </c>
      <c r="P655" s="24">
        <v>673</v>
      </c>
      <c r="Q655" s="11">
        <f t="shared" ref="Q655:Q718" ca="1" si="141">J655*10</f>
        <v>50</v>
      </c>
      <c r="R655" s="24">
        <v>200</v>
      </c>
      <c r="S655" s="24">
        <v>10</v>
      </c>
      <c r="T655" s="24">
        <f t="shared" ref="T655:T718" ca="1" si="142">SUM(P655:S655)</f>
        <v>933</v>
      </c>
    </row>
    <row r="656" spans="1:20" x14ac:dyDescent="0.45">
      <c r="A656" s="11">
        <v>643</v>
      </c>
      <c r="B656" s="11">
        <f t="shared" ca="1" si="130"/>
        <v>0.40590815330815055</v>
      </c>
      <c r="C656" s="11">
        <f t="shared" ca="1" si="131"/>
        <v>1200</v>
      </c>
      <c r="D656" s="11">
        <f t="shared" ca="1" si="132"/>
        <v>0.91995287396104741</v>
      </c>
      <c r="E656" s="11">
        <f t="shared" ca="1" si="133"/>
        <v>1800</v>
      </c>
      <c r="F656" s="11">
        <f t="shared" ca="1" si="134"/>
        <v>0.41505463636486317</v>
      </c>
      <c r="G656" s="11">
        <f t="shared" ca="1" si="135"/>
        <v>1200</v>
      </c>
      <c r="H656" s="11">
        <f t="shared" ca="1" si="136"/>
        <v>1200</v>
      </c>
      <c r="I656" s="11">
        <f t="shared" ca="1" si="137"/>
        <v>0.96146380985355728</v>
      </c>
      <c r="J656" s="11">
        <f t="shared" ca="1" si="138"/>
        <v>15</v>
      </c>
      <c r="K656" s="24">
        <v>96</v>
      </c>
      <c r="L656" s="24">
        <f t="shared" ca="1" si="139"/>
        <v>150</v>
      </c>
      <c r="M656" s="24">
        <v>400</v>
      </c>
      <c r="N656" s="24">
        <v>20</v>
      </c>
      <c r="O656" s="24">
        <f t="shared" ca="1" si="140"/>
        <v>666</v>
      </c>
      <c r="P656" s="24">
        <v>674</v>
      </c>
      <c r="Q656" s="11">
        <f t="shared" ca="1" si="141"/>
        <v>150</v>
      </c>
      <c r="R656" s="24">
        <v>200</v>
      </c>
      <c r="S656" s="24">
        <v>10</v>
      </c>
      <c r="T656" s="24">
        <f t="shared" ca="1" si="142"/>
        <v>1034</v>
      </c>
    </row>
    <row r="657" spans="1:20" x14ac:dyDescent="0.45">
      <c r="A657" s="11">
        <v>644</v>
      </c>
      <c r="B657" s="11">
        <f t="shared" ca="1" si="130"/>
        <v>0.82617560900249631</v>
      </c>
      <c r="C657" s="11">
        <f t="shared" ca="1" si="131"/>
        <v>1600</v>
      </c>
      <c r="D657" s="11">
        <f t="shared" ca="1" si="132"/>
        <v>0.69513050966025958</v>
      </c>
      <c r="E657" s="11">
        <f t="shared" ca="1" si="133"/>
        <v>1400</v>
      </c>
      <c r="F657" s="11">
        <f t="shared" ca="1" si="134"/>
        <v>0.43705424296006279</v>
      </c>
      <c r="G657" s="11">
        <f t="shared" ca="1" si="135"/>
        <v>1200</v>
      </c>
      <c r="H657" s="11">
        <f t="shared" ca="1" si="136"/>
        <v>1200</v>
      </c>
      <c r="I657" s="11">
        <f t="shared" ca="1" si="137"/>
        <v>0.3319680221307818</v>
      </c>
      <c r="J657" s="11">
        <f t="shared" ca="1" si="138"/>
        <v>5</v>
      </c>
      <c r="K657" s="24">
        <v>96</v>
      </c>
      <c r="L657" s="24">
        <f t="shared" ca="1" si="139"/>
        <v>50</v>
      </c>
      <c r="M657" s="24">
        <v>400</v>
      </c>
      <c r="N657" s="24">
        <v>20</v>
      </c>
      <c r="O657" s="24">
        <f t="shared" ca="1" si="140"/>
        <v>566</v>
      </c>
      <c r="P657" s="24">
        <v>675</v>
      </c>
      <c r="Q657" s="11">
        <f t="shared" ca="1" si="141"/>
        <v>50</v>
      </c>
      <c r="R657" s="24">
        <v>200</v>
      </c>
      <c r="S657" s="24">
        <v>10</v>
      </c>
      <c r="T657" s="24">
        <f t="shared" ca="1" si="142"/>
        <v>935</v>
      </c>
    </row>
    <row r="658" spans="1:20" x14ac:dyDescent="0.45">
      <c r="A658" s="11">
        <v>645</v>
      </c>
      <c r="B658" s="11">
        <f t="shared" ca="1" si="130"/>
        <v>0.7255343196092251</v>
      </c>
      <c r="C658" s="11">
        <f t="shared" ca="1" si="131"/>
        <v>1500</v>
      </c>
      <c r="D658" s="11">
        <f t="shared" ca="1" si="132"/>
        <v>3.8379517198080859E-2</v>
      </c>
      <c r="E658" s="11">
        <f t="shared" ca="1" si="133"/>
        <v>1000</v>
      </c>
      <c r="F658" s="11">
        <f t="shared" ca="1" si="134"/>
        <v>0.49437397671177619</v>
      </c>
      <c r="G658" s="11">
        <f t="shared" ca="1" si="135"/>
        <v>1300</v>
      </c>
      <c r="H658" s="11">
        <f t="shared" ca="1" si="136"/>
        <v>1000</v>
      </c>
      <c r="I658" s="11">
        <f t="shared" ca="1" si="137"/>
        <v>0.79407415612375154</v>
      </c>
      <c r="J658" s="11">
        <f t="shared" ca="1" si="138"/>
        <v>10</v>
      </c>
      <c r="K658" s="24">
        <v>96</v>
      </c>
      <c r="L658" s="24">
        <f t="shared" ca="1" si="139"/>
        <v>100</v>
      </c>
      <c r="M658" s="24">
        <v>400</v>
      </c>
      <c r="N658" s="24">
        <v>20</v>
      </c>
      <c r="O658" s="24">
        <f t="shared" ca="1" si="140"/>
        <v>616</v>
      </c>
      <c r="P658" s="24">
        <v>676</v>
      </c>
      <c r="Q658" s="11">
        <f t="shared" ca="1" si="141"/>
        <v>100</v>
      </c>
      <c r="R658" s="24">
        <v>200</v>
      </c>
      <c r="S658" s="24">
        <v>10</v>
      </c>
      <c r="T658" s="24">
        <f t="shared" ca="1" si="142"/>
        <v>986</v>
      </c>
    </row>
    <row r="659" spans="1:20" x14ac:dyDescent="0.45">
      <c r="A659" s="11">
        <v>646</v>
      </c>
      <c r="B659" s="11">
        <f t="shared" ca="1" si="130"/>
        <v>0.77495469449731724</v>
      </c>
      <c r="C659" s="11">
        <f t="shared" ca="1" si="131"/>
        <v>1500</v>
      </c>
      <c r="D659" s="11">
        <f t="shared" ca="1" si="132"/>
        <v>6.3760408565131099E-2</v>
      </c>
      <c r="E659" s="11">
        <f t="shared" ca="1" si="133"/>
        <v>1000</v>
      </c>
      <c r="F659" s="11">
        <f t="shared" ca="1" si="134"/>
        <v>0.48249791245735119</v>
      </c>
      <c r="G659" s="11">
        <f t="shared" ca="1" si="135"/>
        <v>1300</v>
      </c>
      <c r="H659" s="11">
        <f t="shared" ca="1" si="136"/>
        <v>1000</v>
      </c>
      <c r="I659" s="11">
        <f t="shared" ca="1" si="137"/>
        <v>0.12837106320257452</v>
      </c>
      <c r="J659" s="11">
        <f t="shared" ca="1" si="138"/>
        <v>5</v>
      </c>
      <c r="K659" s="24">
        <v>96</v>
      </c>
      <c r="L659" s="24">
        <f t="shared" ca="1" si="139"/>
        <v>50</v>
      </c>
      <c r="M659" s="24">
        <v>400</v>
      </c>
      <c r="N659" s="24">
        <v>20</v>
      </c>
      <c r="O659" s="24">
        <f t="shared" ca="1" si="140"/>
        <v>566</v>
      </c>
      <c r="P659" s="24">
        <v>677</v>
      </c>
      <c r="Q659" s="11">
        <f t="shared" ca="1" si="141"/>
        <v>50</v>
      </c>
      <c r="R659" s="24">
        <v>200</v>
      </c>
      <c r="S659" s="24">
        <v>10</v>
      </c>
      <c r="T659" s="24">
        <f t="shared" ca="1" si="142"/>
        <v>937</v>
      </c>
    </row>
    <row r="660" spans="1:20" x14ac:dyDescent="0.45">
      <c r="A660" s="11">
        <v>647</v>
      </c>
      <c r="B660" s="11">
        <f t="shared" ca="1" si="130"/>
        <v>0.72457634589361986</v>
      </c>
      <c r="C660" s="11">
        <f t="shared" ca="1" si="131"/>
        <v>1500</v>
      </c>
      <c r="D660" s="11">
        <f t="shared" ca="1" si="132"/>
        <v>3.1378009240741966E-2</v>
      </c>
      <c r="E660" s="11">
        <f t="shared" ca="1" si="133"/>
        <v>1000</v>
      </c>
      <c r="F660" s="11">
        <f t="shared" ca="1" si="134"/>
        <v>0.53543806502542945</v>
      </c>
      <c r="G660" s="11">
        <f t="shared" ca="1" si="135"/>
        <v>1300</v>
      </c>
      <c r="H660" s="11">
        <f t="shared" ca="1" si="136"/>
        <v>1000</v>
      </c>
      <c r="I660" s="11">
        <f t="shared" ca="1" si="137"/>
        <v>0.8994903519298193</v>
      </c>
      <c r="J660" s="11">
        <f t="shared" ca="1" si="138"/>
        <v>10</v>
      </c>
      <c r="K660" s="24">
        <v>96</v>
      </c>
      <c r="L660" s="24">
        <f t="shared" ca="1" si="139"/>
        <v>100</v>
      </c>
      <c r="M660" s="24">
        <v>400</v>
      </c>
      <c r="N660" s="24">
        <v>20</v>
      </c>
      <c r="O660" s="24">
        <f t="shared" ca="1" si="140"/>
        <v>616</v>
      </c>
      <c r="P660" s="24">
        <v>678</v>
      </c>
      <c r="Q660" s="11">
        <f t="shared" ca="1" si="141"/>
        <v>100</v>
      </c>
      <c r="R660" s="24">
        <v>200</v>
      </c>
      <c r="S660" s="24">
        <v>10</v>
      </c>
      <c r="T660" s="24">
        <f t="shared" ca="1" si="142"/>
        <v>988</v>
      </c>
    </row>
    <row r="661" spans="1:20" x14ac:dyDescent="0.45">
      <c r="A661" s="11">
        <v>648</v>
      </c>
      <c r="B661" s="11">
        <f t="shared" ca="1" si="130"/>
        <v>0.92263695781085941</v>
      </c>
      <c r="C661" s="11">
        <f t="shared" ca="1" si="131"/>
        <v>1800</v>
      </c>
      <c r="D661" s="11">
        <f t="shared" ca="1" si="132"/>
        <v>0.79375949455936612</v>
      </c>
      <c r="E661" s="11">
        <f t="shared" ca="1" si="133"/>
        <v>1500</v>
      </c>
      <c r="F661" s="11">
        <f t="shared" ca="1" si="134"/>
        <v>0.46170322353930648</v>
      </c>
      <c r="G661" s="11">
        <f t="shared" ca="1" si="135"/>
        <v>1200</v>
      </c>
      <c r="H661" s="11">
        <f t="shared" ca="1" si="136"/>
        <v>1200</v>
      </c>
      <c r="I661" s="11">
        <f t="shared" ca="1" si="137"/>
        <v>0.72691517597586797</v>
      </c>
      <c r="J661" s="11">
        <f t="shared" ca="1" si="138"/>
        <v>10</v>
      </c>
      <c r="K661" s="24">
        <v>96</v>
      </c>
      <c r="L661" s="24">
        <f t="shared" ca="1" si="139"/>
        <v>100</v>
      </c>
      <c r="M661" s="24">
        <v>400</v>
      </c>
      <c r="N661" s="24">
        <v>20</v>
      </c>
      <c r="O661" s="24">
        <f t="shared" ca="1" si="140"/>
        <v>616</v>
      </c>
      <c r="P661" s="24">
        <v>679</v>
      </c>
      <c r="Q661" s="11">
        <f t="shared" ca="1" si="141"/>
        <v>100</v>
      </c>
      <c r="R661" s="24">
        <v>200</v>
      </c>
      <c r="S661" s="24">
        <v>10</v>
      </c>
      <c r="T661" s="24">
        <f t="shared" ca="1" si="142"/>
        <v>989</v>
      </c>
    </row>
    <row r="662" spans="1:20" x14ac:dyDescent="0.45">
      <c r="A662" s="11">
        <v>649</v>
      </c>
      <c r="B662" s="11">
        <f t="shared" ca="1" si="130"/>
        <v>0.99101918607804484</v>
      </c>
      <c r="C662" s="11">
        <f t="shared" ca="1" si="131"/>
        <v>1900</v>
      </c>
      <c r="D662" s="11">
        <f t="shared" ca="1" si="132"/>
        <v>0.59706598746076112</v>
      </c>
      <c r="E662" s="11">
        <f t="shared" ca="1" si="133"/>
        <v>1300</v>
      </c>
      <c r="F662" s="11">
        <f t="shared" ca="1" si="134"/>
        <v>0.62233072866975325</v>
      </c>
      <c r="G662" s="11">
        <f t="shared" ca="1" si="135"/>
        <v>1400</v>
      </c>
      <c r="H662" s="11">
        <f t="shared" ca="1" si="136"/>
        <v>1300</v>
      </c>
      <c r="I662" s="11">
        <f t="shared" ca="1" si="137"/>
        <v>0.8046775257419051</v>
      </c>
      <c r="J662" s="11">
        <f t="shared" ca="1" si="138"/>
        <v>10</v>
      </c>
      <c r="K662" s="24">
        <v>96</v>
      </c>
      <c r="L662" s="24">
        <f t="shared" ca="1" si="139"/>
        <v>100</v>
      </c>
      <c r="M662" s="24">
        <v>400</v>
      </c>
      <c r="N662" s="24">
        <v>20</v>
      </c>
      <c r="O662" s="24">
        <f t="shared" ca="1" si="140"/>
        <v>616</v>
      </c>
      <c r="P662" s="24">
        <v>680</v>
      </c>
      <c r="Q662" s="11">
        <f t="shared" ca="1" si="141"/>
        <v>100</v>
      </c>
      <c r="R662" s="24">
        <v>200</v>
      </c>
      <c r="S662" s="24">
        <v>10</v>
      </c>
      <c r="T662" s="24">
        <f t="shared" ca="1" si="142"/>
        <v>990</v>
      </c>
    </row>
    <row r="663" spans="1:20" x14ac:dyDescent="0.45">
      <c r="A663" s="11">
        <v>650</v>
      </c>
      <c r="B663" s="11">
        <f t="shared" ca="1" si="130"/>
        <v>0.39143072841917215</v>
      </c>
      <c r="C663" s="11">
        <f t="shared" ca="1" si="131"/>
        <v>1200</v>
      </c>
      <c r="D663" s="11">
        <f t="shared" ca="1" si="132"/>
        <v>0.92611623652116004</v>
      </c>
      <c r="E663" s="11">
        <f t="shared" ca="1" si="133"/>
        <v>1800</v>
      </c>
      <c r="F663" s="11">
        <f t="shared" ca="1" si="134"/>
        <v>9.2894349698976142E-2</v>
      </c>
      <c r="G663" s="11">
        <f t="shared" ca="1" si="135"/>
        <v>1000</v>
      </c>
      <c r="H663" s="11">
        <f t="shared" ca="1" si="136"/>
        <v>1000</v>
      </c>
      <c r="I663" s="11">
        <f t="shared" ca="1" si="137"/>
        <v>0.90046513345705692</v>
      </c>
      <c r="J663" s="11">
        <f t="shared" ca="1" si="138"/>
        <v>15</v>
      </c>
      <c r="K663" s="24">
        <v>96</v>
      </c>
      <c r="L663" s="24">
        <f t="shared" ca="1" si="139"/>
        <v>150</v>
      </c>
      <c r="M663" s="24">
        <v>400</v>
      </c>
      <c r="N663" s="24">
        <v>20</v>
      </c>
      <c r="O663" s="24">
        <f t="shared" ca="1" si="140"/>
        <v>666</v>
      </c>
      <c r="P663" s="24">
        <v>681</v>
      </c>
      <c r="Q663" s="11">
        <f t="shared" ca="1" si="141"/>
        <v>150</v>
      </c>
      <c r="R663" s="24">
        <v>200</v>
      </c>
      <c r="S663" s="24">
        <v>10</v>
      </c>
      <c r="T663" s="24">
        <f t="shared" ca="1" si="142"/>
        <v>1041</v>
      </c>
    </row>
    <row r="664" spans="1:20" x14ac:dyDescent="0.45">
      <c r="A664" s="11">
        <v>651</v>
      </c>
      <c r="B664" s="11">
        <f t="shared" ca="1" si="130"/>
        <v>0.50201273130386181</v>
      </c>
      <c r="C664" s="11">
        <f t="shared" ca="1" si="131"/>
        <v>1300</v>
      </c>
      <c r="D664" s="11">
        <f t="shared" ca="1" si="132"/>
        <v>0.32998501753196008</v>
      </c>
      <c r="E664" s="11">
        <f t="shared" ca="1" si="133"/>
        <v>1200</v>
      </c>
      <c r="F664" s="11">
        <f t="shared" ca="1" si="134"/>
        <v>0.19385060914089902</v>
      </c>
      <c r="G664" s="11">
        <f t="shared" ca="1" si="135"/>
        <v>1100</v>
      </c>
      <c r="H664" s="11">
        <f t="shared" ca="1" si="136"/>
        <v>1100</v>
      </c>
      <c r="I664" s="11">
        <f t="shared" ca="1" si="137"/>
        <v>0.46906649219103291</v>
      </c>
      <c r="J664" s="11">
        <f t="shared" ca="1" si="138"/>
        <v>5</v>
      </c>
      <c r="K664" s="24">
        <v>96</v>
      </c>
      <c r="L664" s="24">
        <f t="shared" ca="1" si="139"/>
        <v>50</v>
      </c>
      <c r="M664" s="24">
        <v>400</v>
      </c>
      <c r="N664" s="24">
        <v>20</v>
      </c>
      <c r="O664" s="24">
        <f t="shared" ca="1" si="140"/>
        <v>566</v>
      </c>
      <c r="P664" s="24">
        <v>682</v>
      </c>
      <c r="Q664" s="11">
        <f t="shared" ca="1" si="141"/>
        <v>50</v>
      </c>
      <c r="R664" s="24">
        <v>200</v>
      </c>
      <c r="S664" s="24">
        <v>10</v>
      </c>
      <c r="T664" s="24">
        <f t="shared" ca="1" si="142"/>
        <v>942</v>
      </c>
    </row>
    <row r="665" spans="1:20" x14ac:dyDescent="0.45">
      <c r="A665" s="11">
        <v>652</v>
      </c>
      <c r="B665" s="11">
        <f t="shared" ca="1" si="130"/>
        <v>0.51975037151621439</v>
      </c>
      <c r="C665" s="11">
        <f t="shared" ca="1" si="131"/>
        <v>1300</v>
      </c>
      <c r="D665" s="11">
        <f t="shared" ca="1" si="132"/>
        <v>0.51653334966233622</v>
      </c>
      <c r="E665" s="11">
        <f t="shared" ca="1" si="133"/>
        <v>1300</v>
      </c>
      <c r="F665" s="11">
        <f t="shared" ca="1" si="134"/>
        <v>6.9298745148602681E-2</v>
      </c>
      <c r="G665" s="11">
        <f t="shared" ca="1" si="135"/>
        <v>1000</v>
      </c>
      <c r="H665" s="11">
        <f t="shared" ca="1" si="136"/>
        <v>1000</v>
      </c>
      <c r="I665" s="11">
        <f t="shared" ca="1" si="137"/>
        <v>0.8371995145165636</v>
      </c>
      <c r="J665" s="11">
        <f t="shared" ca="1" si="138"/>
        <v>10</v>
      </c>
      <c r="K665" s="24">
        <v>96</v>
      </c>
      <c r="L665" s="24">
        <f t="shared" ca="1" si="139"/>
        <v>100</v>
      </c>
      <c r="M665" s="24">
        <v>400</v>
      </c>
      <c r="N665" s="24">
        <v>20</v>
      </c>
      <c r="O665" s="24">
        <f t="shared" ca="1" si="140"/>
        <v>616</v>
      </c>
      <c r="P665" s="24">
        <v>683</v>
      </c>
      <c r="Q665" s="11">
        <f t="shared" ca="1" si="141"/>
        <v>100</v>
      </c>
      <c r="R665" s="24">
        <v>200</v>
      </c>
      <c r="S665" s="24">
        <v>10</v>
      </c>
      <c r="T665" s="24">
        <f t="shared" ca="1" si="142"/>
        <v>993</v>
      </c>
    </row>
    <row r="666" spans="1:20" x14ac:dyDescent="0.45">
      <c r="A666" s="11">
        <v>653</v>
      </c>
      <c r="B666" s="11">
        <f t="shared" ca="1" si="130"/>
        <v>0.74998424037937483</v>
      </c>
      <c r="C666" s="11">
        <f t="shared" ca="1" si="131"/>
        <v>1500</v>
      </c>
      <c r="D666" s="11">
        <f t="shared" ca="1" si="132"/>
        <v>0.80578620940212164</v>
      </c>
      <c r="E666" s="11">
        <f t="shared" ca="1" si="133"/>
        <v>1500</v>
      </c>
      <c r="F666" s="11">
        <f t="shared" ca="1" si="134"/>
        <v>0.49815027365496001</v>
      </c>
      <c r="G666" s="11">
        <f t="shared" ca="1" si="135"/>
        <v>1300</v>
      </c>
      <c r="H666" s="11">
        <f t="shared" ca="1" si="136"/>
        <v>1300</v>
      </c>
      <c r="I666" s="11">
        <f t="shared" ca="1" si="137"/>
        <v>0.57384864292498949</v>
      </c>
      <c r="J666" s="11">
        <f t="shared" ca="1" si="138"/>
        <v>5</v>
      </c>
      <c r="K666" s="24">
        <v>96</v>
      </c>
      <c r="L666" s="24">
        <f t="shared" ca="1" si="139"/>
        <v>50</v>
      </c>
      <c r="M666" s="24">
        <v>400</v>
      </c>
      <c r="N666" s="24">
        <v>20</v>
      </c>
      <c r="O666" s="24">
        <f t="shared" ca="1" si="140"/>
        <v>566</v>
      </c>
      <c r="P666" s="24">
        <v>684</v>
      </c>
      <c r="Q666" s="11">
        <f t="shared" ca="1" si="141"/>
        <v>50</v>
      </c>
      <c r="R666" s="24">
        <v>200</v>
      </c>
      <c r="S666" s="24">
        <v>10</v>
      </c>
      <c r="T666" s="24">
        <f t="shared" ca="1" si="142"/>
        <v>944</v>
      </c>
    </row>
    <row r="667" spans="1:20" x14ac:dyDescent="0.45">
      <c r="A667" s="11">
        <v>654</v>
      </c>
      <c r="B667" s="11">
        <f t="shared" ca="1" si="130"/>
        <v>0.27848302898267219</v>
      </c>
      <c r="C667" s="11">
        <f t="shared" ca="1" si="131"/>
        <v>1200</v>
      </c>
      <c r="D667" s="11">
        <f t="shared" ca="1" si="132"/>
        <v>0.24332628255709987</v>
      </c>
      <c r="E667" s="11">
        <f t="shared" ca="1" si="133"/>
        <v>1200</v>
      </c>
      <c r="F667" s="11">
        <f t="shared" ca="1" si="134"/>
        <v>0.60891325212581693</v>
      </c>
      <c r="G667" s="11">
        <f t="shared" ca="1" si="135"/>
        <v>1300</v>
      </c>
      <c r="H667" s="11">
        <f t="shared" ca="1" si="136"/>
        <v>1200</v>
      </c>
      <c r="I667" s="11">
        <f t="shared" ca="1" si="137"/>
        <v>0.18374118221881564</v>
      </c>
      <c r="J667" s="11">
        <f t="shared" ca="1" si="138"/>
        <v>5</v>
      </c>
      <c r="K667" s="24">
        <v>96</v>
      </c>
      <c r="L667" s="24">
        <f t="shared" ca="1" si="139"/>
        <v>50</v>
      </c>
      <c r="M667" s="24">
        <v>400</v>
      </c>
      <c r="N667" s="24">
        <v>20</v>
      </c>
      <c r="O667" s="24">
        <f t="shared" ca="1" si="140"/>
        <v>566</v>
      </c>
      <c r="P667" s="24">
        <v>685</v>
      </c>
      <c r="Q667" s="11">
        <f t="shared" ca="1" si="141"/>
        <v>50</v>
      </c>
      <c r="R667" s="24">
        <v>200</v>
      </c>
      <c r="S667" s="24">
        <v>10</v>
      </c>
      <c r="T667" s="24">
        <f t="shared" ca="1" si="142"/>
        <v>945</v>
      </c>
    </row>
    <row r="668" spans="1:20" x14ac:dyDescent="0.45">
      <c r="A668" s="11">
        <v>655</v>
      </c>
      <c r="B668" s="11">
        <f t="shared" ca="1" si="130"/>
        <v>0.46586575449324752</v>
      </c>
      <c r="C668" s="11">
        <f t="shared" ca="1" si="131"/>
        <v>1200</v>
      </c>
      <c r="D668" s="11">
        <f t="shared" ca="1" si="132"/>
        <v>0.93684825943166505</v>
      </c>
      <c r="E668" s="11">
        <f t="shared" ca="1" si="133"/>
        <v>1800</v>
      </c>
      <c r="F668" s="11">
        <f t="shared" ca="1" si="134"/>
        <v>0.12354402191489322</v>
      </c>
      <c r="G668" s="11">
        <f t="shared" ca="1" si="135"/>
        <v>1100</v>
      </c>
      <c r="H668" s="11">
        <f t="shared" ca="1" si="136"/>
        <v>1100</v>
      </c>
      <c r="I668" s="11">
        <f t="shared" ca="1" si="137"/>
        <v>0.71209286054539311</v>
      </c>
      <c r="J668" s="11">
        <f t="shared" ca="1" si="138"/>
        <v>10</v>
      </c>
      <c r="K668" s="24">
        <v>96</v>
      </c>
      <c r="L668" s="24">
        <f t="shared" ca="1" si="139"/>
        <v>100</v>
      </c>
      <c r="M668" s="24">
        <v>400</v>
      </c>
      <c r="N668" s="24">
        <v>20</v>
      </c>
      <c r="O668" s="24">
        <f t="shared" ca="1" si="140"/>
        <v>616</v>
      </c>
      <c r="P668" s="24">
        <v>686</v>
      </c>
      <c r="Q668" s="11">
        <f t="shared" ca="1" si="141"/>
        <v>100</v>
      </c>
      <c r="R668" s="24">
        <v>200</v>
      </c>
      <c r="S668" s="24">
        <v>10</v>
      </c>
      <c r="T668" s="24">
        <f t="shared" ca="1" si="142"/>
        <v>996</v>
      </c>
    </row>
    <row r="669" spans="1:20" x14ac:dyDescent="0.45">
      <c r="A669" s="11">
        <v>656</v>
      </c>
      <c r="B669" s="11">
        <f t="shared" ca="1" si="130"/>
        <v>0.6393418994676936</v>
      </c>
      <c r="C669" s="11">
        <f t="shared" ca="1" si="131"/>
        <v>1400</v>
      </c>
      <c r="D669" s="11">
        <f t="shared" ca="1" si="132"/>
        <v>0.58712023890924936</v>
      </c>
      <c r="E669" s="11">
        <f t="shared" ca="1" si="133"/>
        <v>1300</v>
      </c>
      <c r="F669" s="11">
        <f t="shared" ca="1" si="134"/>
        <v>0.69176363152107712</v>
      </c>
      <c r="G669" s="11">
        <f t="shared" ca="1" si="135"/>
        <v>1400</v>
      </c>
      <c r="H669" s="11">
        <f t="shared" ca="1" si="136"/>
        <v>1300</v>
      </c>
      <c r="I669" s="11">
        <f t="shared" ca="1" si="137"/>
        <v>0.22197238221301174</v>
      </c>
      <c r="J669" s="11">
        <f t="shared" ca="1" si="138"/>
        <v>5</v>
      </c>
      <c r="K669" s="24">
        <v>96</v>
      </c>
      <c r="L669" s="24">
        <f t="shared" ca="1" si="139"/>
        <v>50</v>
      </c>
      <c r="M669" s="24">
        <v>400</v>
      </c>
      <c r="N669" s="24">
        <v>20</v>
      </c>
      <c r="O669" s="24">
        <f t="shared" ca="1" si="140"/>
        <v>566</v>
      </c>
      <c r="P669" s="24">
        <v>687</v>
      </c>
      <c r="Q669" s="11">
        <f t="shared" ca="1" si="141"/>
        <v>50</v>
      </c>
      <c r="R669" s="24">
        <v>200</v>
      </c>
      <c r="S669" s="24">
        <v>10</v>
      </c>
      <c r="T669" s="24">
        <f t="shared" ca="1" si="142"/>
        <v>947</v>
      </c>
    </row>
    <row r="670" spans="1:20" x14ac:dyDescent="0.45">
      <c r="A670" s="11">
        <v>657</v>
      </c>
      <c r="B670" s="11">
        <f t="shared" ca="1" si="130"/>
        <v>0.34534661222366625</v>
      </c>
      <c r="C670" s="11">
        <f t="shared" ca="1" si="131"/>
        <v>1200</v>
      </c>
      <c r="D670" s="11">
        <f t="shared" ca="1" si="132"/>
        <v>6.6840932841892298E-2</v>
      </c>
      <c r="E670" s="11">
        <f t="shared" ca="1" si="133"/>
        <v>1000</v>
      </c>
      <c r="F670" s="11">
        <f t="shared" ca="1" si="134"/>
        <v>0.30439135413418328</v>
      </c>
      <c r="G670" s="11">
        <f t="shared" ca="1" si="135"/>
        <v>1200</v>
      </c>
      <c r="H670" s="11">
        <f t="shared" ca="1" si="136"/>
        <v>1000</v>
      </c>
      <c r="I670" s="11">
        <f t="shared" ca="1" si="137"/>
        <v>1.6934941676649884E-2</v>
      </c>
      <c r="J670" s="11">
        <f t="shared" ca="1" si="138"/>
        <v>5</v>
      </c>
      <c r="K670" s="24">
        <v>96</v>
      </c>
      <c r="L670" s="24">
        <f t="shared" ca="1" si="139"/>
        <v>50</v>
      </c>
      <c r="M670" s="24">
        <v>400</v>
      </c>
      <c r="N670" s="24">
        <v>20</v>
      </c>
      <c r="O670" s="24">
        <f t="shared" ca="1" si="140"/>
        <v>566</v>
      </c>
      <c r="P670" s="24">
        <v>688</v>
      </c>
      <c r="Q670" s="11">
        <f t="shared" ca="1" si="141"/>
        <v>50</v>
      </c>
      <c r="R670" s="24">
        <v>200</v>
      </c>
      <c r="S670" s="24">
        <v>10</v>
      </c>
      <c r="T670" s="24">
        <f t="shared" ca="1" si="142"/>
        <v>948</v>
      </c>
    </row>
    <row r="671" spans="1:20" x14ac:dyDescent="0.45">
      <c r="A671" s="11">
        <v>658</v>
      </c>
      <c r="B671" s="11">
        <f t="shared" ca="1" si="130"/>
        <v>0.2202646461011869</v>
      </c>
      <c r="C671" s="11">
        <f t="shared" ca="1" si="131"/>
        <v>1100</v>
      </c>
      <c r="D671" s="11">
        <f t="shared" ca="1" si="132"/>
        <v>2.4998210721022263E-2</v>
      </c>
      <c r="E671" s="11">
        <f t="shared" ca="1" si="133"/>
        <v>1000</v>
      </c>
      <c r="F671" s="11">
        <f t="shared" ca="1" si="134"/>
        <v>0.62048887204814673</v>
      </c>
      <c r="G671" s="11">
        <f t="shared" ca="1" si="135"/>
        <v>1400</v>
      </c>
      <c r="H671" s="11">
        <f t="shared" ca="1" si="136"/>
        <v>1000</v>
      </c>
      <c r="I671" s="11">
        <f t="shared" ca="1" si="137"/>
        <v>0.34218085584340596</v>
      </c>
      <c r="J671" s="11">
        <f t="shared" ca="1" si="138"/>
        <v>5</v>
      </c>
      <c r="K671" s="24">
        <v>96</v>
      </c>
      <c r="L671" s="24">
        <f t="shared" ca="1" si="139"/>
        <v>50</v>
      </c>
      <c r="M671" s="24">
        <v>400</v>
      </c>
      <c r="N671" s="24">
        <v>20</v>
      </c>
      <c r="O671" s="24">
        <f t="shared" ca="1" si="140"/>
        <v>566</v>
      </c>
      <c r="P671" s="24">
        <v>689</v>
      </c>
      <c r="Q671" s="11">
        <f t="shared" ca="1" si="141"/>
        <v>50</v>
      </c>
      <c r="R671" s="24">
        <v>200</v>
      </c>
      <c r="S671" s="24">
        <v>10</v>
      </c>
      <c r="T671" s="24">
        <f t="shared" ca="1" si="142"/>
        <v>949</v>
      </c>
    </row>
    <row r="672" spans="1:20" x14ac:dyDescent="0.45">
      <c r="A672" s="11">
        <v>659</v>
      </c>
      <c r="B672" s="11">
        <f t="shared" ca="1" si="130"/>
        <v>0.40035569199864807</v>
      </c>
      <c r="C672" s="11">
        <f t="shared" ca="1" si="131"/>
        <v>1200</v>
      </c>
      <c r="D672" s="11">
        <f t="shared" ca="1" si="132"/>
        <v>0.50511590231341463</v>
      </c>
      <c r="E672" s="11">
        <f t="shared" ca="1" si="133"/>
        <v>1300</v>
      </c>
      <c r="F672" s="11">
        <f t="shared" ca="1" si="134"/>
        <v>0.24045765638159489</v>
      </c>
      <c r="G672" s="11">
        <f t="shared" ca="1" si="135"/>
        <v>1200</v>
      </c>
      <c r="H672" s="11">
        <f t="shared" ca="1" si="136"/>
        <v>1200</v>
      </c>
      <c r="I672" s="11">
        <f t="shared" ca="1" si="137"/>
        <v>0.50830204033131343</v>
      </c>
      <c r="J672" s="11">
        <f t="shared" ca="1" si="138"/>
        <v>5</v>
      </c>
      <c r="K672" s="24">
        <v>96</v>
      </c>
      <c r="L672" s="24">
        <f t="shared" ca="1" si="139"/>
        <v>50</v>
      </c>
      <c r="M672" s="24">
        <v>400</v>
      </c>
      <c r="N672" s="24">
        <v>20</v>
      </c>
      <c r="O672" s="24">
        <f t="shared" ca="1" si="140"/>
        <v>566</v>
      </c>
      <c r="P672" s="24">
        <v>690</v>
      </c>
      <c r="Q672" s="11">
        <f t="shared" ca="1" si="141"/>
        <v>50</v>
      </c>
      <c r="R672" s="24">
        <v>200</v>
      </c>
      <c r="S672" s="24">
        <v>10</v>
      </c>
      <c r="T672" s="24">
        <f t="shared" ca="1" si="142"/>
        <v>950</v>
      </c>
    </row>
    <row r="673" spans="1:20" x14ac:dyDescent="0.45">
      <c r="A673" s="11">
        <v>660</v>
      </c>
      <c r="B673" s="11">
        <f t="shared" ca="1" si="130"/>
        <v>9.5901898309289635E-3</v>
      </c>
      <c r="C673" s="11">
        <f t="shared" ca="1" si="131"/>
        <v>1000</v>
      </c>
      <c r="D673" s="11">
        <f t="shared" ca="1" si="132"/>
        <v>0.84328048269922373</v>
      </c>
      <c r="E673" s="11">
        <f t="shared" ca="1" si="133"/>
        <v>1700</v>
      </c>
      <c r="F673" s="11">
        <f t="shared" ca="1" si="134"/>
        <v>0.96599758030381455</v>
      </c>
      <c r="G673" s="11">
        <f t="shared" ca="1" si="135"/>
        <v>1900</v>
      </c>
      <c r="H673" s="11">
        <f t="shared" ca="1" si="136"/>
        <v>1000</v>
      </c>
      <c r="I673" s="11">
        <f t="shared" ca="1" si="137"/>
        <v>0.38458994085529696</v>
      </c>
      <c r="J673" s="11">
        <f t="shared" ca="1" si="138"/>
        <v>5</v>
      </c>
      <c r="K673" s="24">
        <v>96</v>
      </c>
      <c r="L673" s="24">
        <f t="shared" ca="1" si="139"/>
        <v>50</v>
      </c>
      <c r="M673" s="24">
        <v>400</v>
      </c>
      <c r="N673" s="24">
        <v>20</v>
      </c>
      <c r="O673" s="24">
        <f t="shared" ca="1" si="140"/>
        <v>566</v>
      </c>
      <c r="P673" s="24">
        <v>691</v>
      </c>
      <c r="Q673" s="11">
        <f t="shared" ca="1" si="141"/>
        <v>50</v>
      </c>
      <c r="R673" s="24">
        <v>200</v>
      </c>
      <c r="S673" s="24">
        <v>10</v>
      </c>
      <c r="T673" s="24">
        <f t="shared" ca="1" si="142"/>
        <v>951</v>
      </c>
    </row>
    <row r="674" spans="1:20" x14ac:dyDescent="0.45">
      <c r="A674" s="11">
        <v>661</v>
      </c>
      <c r="B674" s="11">
        <f t="shared" ca="1" si="130"/>
        <v>0.6229994218637861</v>
      </c>
      <c r="C674" s="11">
        <f t="shared" ca="1" si="131"/>
        <v>1400</v>
      </c>
      <c r="D674" s="11">
        <f t="shared" ca="1" si="132"/>
        <v>0.13352601957137655</v>
      </c>
      <c r="E674" s="11">
        <f t="shared" ca="1" si="133"/>
        <v>1100</v>
      </c>
      <c r="F674" s="11">
        <f t="shared" ca="1" si="134"/>
        <v>0.30497433981377098</v>
      </c>
      <c r="G674" s="11">
        <f t="shared" ca="1" si="135"/>
        <v>1200</v>
      </c>
      <c r="H674" s="11">
        <f t="shared" ca="1" si="136"/>
        <v>1100</v>
      </c>
      <c r="I674" s="11">
        <f t="shared" ca="1" si="137"/>
        <v>0.87129029756636056</v>
      </c>
      <c r="J674" s="11">
        <f t="shared" ca="1" si="138"/>
        <v>10</v>
      </c>
      <c r="K674" s="24">
        <v>96</v>
      </c>
      <c r="L674" s="24">
        <f t="shared" ca="1" si="139"/>
        <v>100</v>
      </c>
      <c r="M674" s="24">
        <v>400</v>
      </c>
      <c r="N674" s="24">
        <v>20</v>
      </c>
      <c r="O674" s="24">
        <f t="shared" ca="1" si="140"/>
        <v>616</v>
      </c>
      <c r="P674" s="24">
        <v>692</v>
      </c>
      <c r="Q674" s="11">
        <f t="shared" ca="1" si="141"/>
        <v>100</v>
      </c>
      <c r="R674" s="24">
        <v>200</v>
      </c>
      <c r="S674" s="24">
        <v>10</v>
      </c>
      <c r="T674" s="24">
        <f t="shared" ca="1" si="142"/>
        <v>1002</v>
      </c>
    </row>
    <row r="675" spans="1:20" x14ac:dyDescent="0.45">
      <c r="A675" s="11">
        <v>662</v>
      </c>
      <c r="B675" s="11">
        <f t="shared" ca="1" si="130"/>
        <v>0.97416602473341707</v>
      </c>
      <c r="C675" s="11">
        <f t="shared" ca="1" si="131"/>
        <v>1900</v>
      </c>
      <c r="D675" s="11">
        <f t="shared" ca="1" si="132"/>
        <v>0.73694456861352231</v>
      </c>
      <c r="E675" s="11">
        <f t="shared" ca="1" si="133"/>
        <v>1500</v>
      </c>
      <c r="F675" s="11">
        <f t="shared" ca="1" si="134"/>
        <v>0.61498038372503983</v>
      </c>
      <c r="G675" s="11">
        <f t="shared" ca="1" si="135"/>
        <v>1400</v>
      </c>
      <c r="H675" s="11">
        <f t="shared" ca="1" si="136"/>
        <v>1400</v>
      </c>
      <c r="I675" s="11">
        <f t="shared" ca="1" si="137"/>
        <v>0.29075889982552006</v>
      </c>
      <c r="J675" s="11">
        <f t="shared" ca="1" si="138"/>
        <v>5</v>
      </c>
      <c r="K675" s="24">
        <v>96</v>
      </c>
      <c r="L675" s="24">
        <f t="shared" ca="1" si="139"/>
        <v>50</v>
      </c>
      <c r="M675" s="24">
        <v>400</v>
      </c>
      <c r="N675" s="24">
        <v>20</v>
      </c>
      <c r="O675" s="24">
        <f t="shared" ca="1" si="140"/>
        <v>566</v>
      </c>
      <c r="P675" s="24">
        <v>693</v>
      </c>
      <c r="Q675" s="11">
        <f t="shared" ca="1" si="141"/>
        <v>50</v>
      </c>
      <c r="R675" s="24">
        <v>200</v>
      </c>
      <c r="S675" s="24">
        <v>10</v>
      </c>
      <c r="T675" s="24">
        <f t="shared" ca="1" si="142"/>
        <v>953</v>
      </c>
    </row>
    <row r="676" spans="1:20" x14ac:dyDescent="0.45">
      <c r="A676" s="11">
        <v>663</v>
      </c>
      <c r="B676" s="11">
        <f t="shared" ca="1" si="130"/>
        <v>0.82714367803633571</v>
      </c>
      <c r="C676" s="11">
        <f t="shared" ca="1" si="131"/>
        <v>1600</v>
      </c>
      <c r="D676" s="11">
        <f t="shared" ca="1" si="132"/>
        <v>0.80508955880151667</v>
      </c>
      <c r="E676" s="11">
        <f t="shared" ca="1" si="133"/>
        <v>1500</v>
      </c>
      <c r="F676" s="11">
        <f t="shared" ca="1" si="134"/>
        <v>0.74182187764054264</v>
      </c>
      <c r="G676" s="11">
        <f t="shared" ca="1" si="135"/>
        <v>1500</v>
      </c>
      <c r="H676" s="11">
        <f t="shared" ca="1" si="136"/>
        <v>1500</v>
      </c>
      <c r="I676" s="11">
        <f t="shared" ca="1" si="137"/>
        <v>0.82953513690791858</v>
      </c>
      <c r="J676" s="11">
        <f t="shared" ca="1" si="138"/>
        <v>10</v>
      </c>
      <c r="K676" s="24">
        <v>96</v>
      </c>
      <c r="L676" s="24">
        <f t="shared" ca="1" si="139"/>
        <v>100</v>
      </c>
      <c r="M676" s="24">
        <v>400</v>
      </c>
      <c r="N676" s="24">
        <v>20</v>
      </c>
      <c r="O676" s="24">
        <f t="shared" ca="1" si="140"/>
        <v>616</v>
      </c>
      <c r="P676" s="24">
        <v>694</v>
      </c>
      <c r="Q676" s="11">
        <f t="shared" ca="1" si="141"/>
        <v>100</v>
      </c>
      <c r="R676" s="24">
        <v>200</v>
      </c>
      <c r="S676" s="24">
        <v>10</v>
      </c>
      <c r="T676" s="24">
        <f t="shared" ca="1" si="142"/>
        <v>1004</v>
      </c>
    </row>
    <row r="677" spans="1:20" x14ac:dyDescent="0.45">
      <c r="A677" s="11">
        <v>664</v>
      </c>
      <c r="B677" s="11">
        <f t="shared" ca="1" si="130"/>
        <v>0.74253978361259043</v>
      </c>
      <c r="C677" s="11">
        <f t="shared" ca="1" si="131"/>
        <v>1500</v>
      </c>
      <c r="D677" s="11">
        <f t="shared" ca="1" si="132"/>
        <v>0.82483992092127445</v>
      </c>
      <c r="E677" s="11">
        <f t="shared" ca="1" si="133"/>
        <v>1600</v>
      </c>
      <c r="F677" s="11">
        <f t="shared" ca="1" si="134"/>
        <v>0.7779363052473367</v>
      </c>
      <c r="G677" s="11">
        <f t="shared" ca="1" si="135"/>
        <v>1500</v>
      </c>
      <c r="H677" s="11">
        <f t="shared" ca="1" si="136"/>
        <v>1500</v>
      </c>
      <c r="I677" s="11">
        <f t="shared" ca="1" si="137"/>
        <v>5.8451792007202519E-2</v>
      </c>
      <c r="J677" s="11">
        <f t="shared" ca="1" si="138"/>
        <v>5</v>
      </c>
      <c r="K677" s="24">
        <v>96</v>
      </c>
      <c r="L677" s="24">
        <f t="shared" ca="1" si="139"/>
        <v>50</v>
      </c>
      <c r="M677" s="24">
        <v>400</v>
      </c>
      <c r="N677" s="24">
        <v>20</v>
      </c>
      <c r="O677" s="24">
        <f t="shared" ca="1" si="140"/>
        <v>566</v>
      </c>
      <c r="P677" s="24">
        <v>695</v>
      </c>
      <c r="Q677" s="11">
        <f t="shared" ca="1" si="141"/>
        <v>50</v>
      </c>
      <c r="R677" s="24">
        <v>200</v>
      </c>
      <c r="S677" s="24">
        <v>10</v>
      </c>
      <c r="T677" s="24">
        <f t="shared" ca="1" si="142"/>
        <v>955</v>
      </c>
    </row>
    <row r="678" spans="1:20" x14ac:dyDescent="0.45">
      <c r="A678" s="11">
        <v>665</v>
      </c>
      <c r="B678" s="11">
        <f t="shared" ca="1" si="130"/>
        <v>0.25601515015614917</v>
      </c>
      <c r="C678" s="11">
        <f t="shared" ca="1" si="131"/>
        <v>1200</v>
      </c>
      <c r="D678" s="11">
        <f t="shared" ca="1" si="132"/>
        <v>0.29361806472965946</v>
      </c>
      <c r="E678" s="11">
        <f t="shared" ca="1" si="133"/>
        <v>1200</v>
      </c>
      <c r="F678" s="11">
        <f t="shared" ca="1" si="134"/>
        <v>0.66447523706702771</v>
      </c>
      <c r="G678" s="11">
        <f t="shared" ca="1" si="135"/>
        <v>1400</v>
      </c>
      <c r="H678" s="11">
        <f t="shared" ca="1" si="136"/>
        <v>1200</v>
      </c>
      <c r="I678" s="11">
        <f t="shared" ca="1" si="137"/>
        <v>0.60001715791931631</v>
      </c>
      <c r="J678" s="11">
        <f t="shared" ca="1" si="138"/>
        <v>10</v>
      </c>
      <c r="K678" s="24">
        <v>96</v>
      </c>
      <c r="L678" s="24">
        <f t="shared" ca="1" si="139"/>
        <v>100</v>
      </c>
      <c r="M678" s="24">
        <v>400</v>
      </c>
      <c r="N678" s="24">
        <v>20</v>
      </c>
      <c r="O678" s="24">
        <f t="shared" ca="1" si="140"/>
        <v>616</v>
      </c>
      <c r="P678" s="24">
        <v>696</v>
      </c>
      <c r="Q678" s="11">
        <f t="shared" ca="1" si="141"/>
        <v>100</v>
      </c>
      <c r="R678" s="24">
        <v>200</v>
      </c>
      <c r="S678" s="24">
        <v>10</v>
      </c>
      <c r="T678" s="24">
        <f t="shared" ca="1" si="142"/>
        <v>1006</v>
      </c>
    </row>
    <row r="679" spans="1:20" x14ac:dyDescent="0.45">
      <c r="A679" s="11">
        <v>666</v>
      </c>
      <c r="B679" s="11">
        <f t="shared" ca="1" si="130"/>
        <v>0.32489533238818813</v>
      </c>
      <c r="C679" s="11">
        <f t="shared" ca="1" si="131"/>
        <v>1200</v>
      </c>
      <c r="D679" s="11">
        <f t="shared" ca="1" si="132"/>
        <v>0.28307101522423039</v>
      </c>
      <c r="E679" s="11">
        <f t="shared" ca="1" si="133"/>
        <v>1200</v>
      </c>
      <c r="F679" s="11">
        <f t="shared" ca="1" si="134"/>
        <v>0.36861582983074248</v>
      </c>
      <c r="G679" s="11">
        <f t="shared" ca="1" si="135"/>
        <v>1200</v>
      </c>
      <c r="H679" s="11">
        <f t="shared" ca="1" si="136"/>
        <v>1200</v>
      </c>
      <c r="I679" s="11">
        <f t="shared" ca="1" si="137"/>
        <v>0.30076902883966572</v>
      </c>
      <c r="J679" s="11">
        <f t="shared" ca="1" si="138"/>
        <v>5</v>
      </c>
      <c r="K679" s="24">
        <v>96</v>
      </c>
      <c r="L679" s="24">
        <f t="shared" ca="1" si="139"/>
        <v>50</v>
      </c>
      <c r="M679" s="24">
        <v>400</v>
      </c>
      <c r="N679" s="24">
        <v>20</v>
      </c>
      <c r="O679" s="24">
        <f t="shared" ca="1" si="140"/>
        <v>566</v>
      </c>
      <c r="P679" s="24">
        <v>697</v>
      </c>
      <c r="Q679" s="11">
        <f t="shared" ca="1" si="141"/>
        <v>50</v>
      </c>
      <c r="R679" s="24">
        <v>200</v>
      </c>
      <c r="S679" s="24">
        <v>10</v>
      </c>
      <c r="T679" s="24">
        <f t="shared" ca="1" si="142"/>
        <v>957</v>
      </c>
    </row>
    <row r="680" spans="1:20" x14ac:dyDescent="0.45">
      <c r="A680" s="11">
        <v>667</v>
      </c>
      <c r="B680" s="11">
        <f t="shared" ca="1" si="130"/>
        <v>0.57229632761692273</v>
      </c>
      <c r="C680" s="11">
        <f t="shared" ca="1" si="131"/>
        <v>1300</v>
      </c>
      <c r="D680" s="11">
        <f t="shared" ca="1" si="132"/>
        <v>0.41268174328394802</v>
      </c>
      <c r="E680" s="11">
        <f t="shared" ca="1" si="133"/>
        <v>1200</v>
      </c>
      <c r="F680" s="11">
        <f t="shared" ca="1" si="134"/>
        <v>0.81154036624633075</v>
      </c>
      <c r="G680" s="11">
        <f t="shared" ca="1" si="135"/>
        <v>1500</v>
      </c>
      <c r="H680" s="11">
        <f t="shared" ca="1" si="136"/>
        <v>1200</v>
      </c>
      <c r="I680" s="11">
        <f t="shared" ca="1" si="137"/>
        <v>3.0448344008331296E-2</v>
      </c>
      <c r="J680" s="11">
        <f t="shared" ca="1" si="138"/>
        <v>5</v>
      </c>
      <c r="K680" s="24">
        <v>96</v>
      </c>
      <c r="L680" s="24">
        <f t="shared" ca="1" si="139"/>
        <v>50</v>
      </c>
      <c r="M680" s="24">
        <v>400</v>
      </c>
      <c r="N680" s="24">
        <v>20</v>
      </c>
      <c r="O680" s="24">
        <f t="shared" ca="1" si="140"/>
        <v>566</v>
      </c>
      <c r="P680" s="24">
        <v>698</v>
      </c>
      <c r="Q680" s="11">
        <f t="shared" ca="1" si="141"/>
        <v>50</v>
      </c>
      <c r="R680" s="24">
        <v>200</v>
      </c>
      <c r="S680" s="24">
        <v>10</v>
      </c>
      <c r="T680" s="24">
        <f t="shared" ca="1" si="142"/>
        <v>958</v>
      </c>
    </row>
    <row r="681" spans="1:20" x14ac:dyDescent="0.45">
      <c r="A681" s="11">
        <v>668</v>
      </c>
      <c r="B681" s="11">
        <f t="shared" ca="1" si="130"/>
        <v>0.87623220355673714</v>
      </c>
      <c r="C681" s="11">
        <f t="shared" ca="1" si="131"/>
        <v>1700</v>
      </c>
      <c r="D681" s="11">
        <f t="shared" ca="1" si="132"/>
        <v>0.25954228731422635</v>
      </c>
      <c r="E681" s="11">
        <f t="shared" ca="1" si="133"/>
        <v>1200</v>
      </c>
      <c r="F681" s="11">
        <f t="shared" ca="1" si="134"/>
        <v>0.32242851174980169</v>
      </c>
      <c r="G681" s="11">
        <f t="shared" ca="1" si="135"/>
        <v>1200</v>
      </c>
      <c r="H681" s="11">
        <f t="shared" ca="1" si="136"/>
        <v>1200</v>
      </c>
      <c r="I681" s="11">
        <f t="shared" ca="1" si="137"/>
        <v>0.3624218821136459</v>
      </c>
      <c r="J681" s="11">
        <f t="shared" ca="1" si="138"/>
        <v>5</v>
      </c>
      <c r="K681" s="24">
        <v>96</v>
      </c>
      <c r="L681" s="24">
        <f t="shared" ca="1" si="139"/>
        <v>50</v>
      </c>
      <c r="M681" s="24">
        <v>400</v>
      </c>
      <c r="N681" s="24">
        <v>20</v>
      </c>
      <c r="O681" s="24">
        <f t="shared" ca="1" si="140"/>
        <v>566</v>
      </c>
      <c r="P681" s="24">
        <v>699</v>
      </c>
      <c r="Q681" s="11">
        <f t="shared" ca="1" si="141"/>
        <v>50</v>
      </c>
      <c r="R681" s="24">
        <v>200</v>
      </c>
      <c r="S681" s="24">
        <v>10</v>
      </c>
      <c r="T681" s="24">
        <f t="shared" ca="1" si="142"/>
        <v>959</v>
      </c>
    </row>
    <row r="682" spans="1:20" x14ac:dyDescent="0.45">
      <c r="A682" s="11">
        <v>669</v>
      </c>
      <c r="B682" s="11">
        <f t="shared" ca="1" si="130"/>
        <v>0.65702921470243947</v>
      </c>
      <c r="C682" s="11">
        <f t="shared" ca="1" si="131"/>
        <v>1400</v>
      </c>
      <c r="D682" s="11">
        <f t="shared" ca="1" si="132"/>
        <v>0.82718730854591316</v>
      </c>
      <c r="E682" s="11">
        <f t="shared" ca="1" si="133"/>
        <v>1600</v>
      </c>
      <c r="F682" s="11">
        <f t="shared" ca="1" si="134"/>
        <v>0.40032367754447273</v>
      </c>
      <c r="G682" s="11">
        <f t="shared" ca="1" si="135"/>
        <v>1200</v>
      </c>
      <c r="H682" s="11">
        <f t="shared" ca="1" si="136"/>
        <v>1200</v>
      </c>
      <c r="I682" s="11">
        <f t="shared" ca="1" si="137"/>
        <v>0.71460980157470022</v>
      </c>
      <c r="J682" s="11">
        <f t="shared" ca="1" si="138"/>
        <v>10</v>
      </c>
      <c r="K682" s="24">
        <v>96</v>
      </c>
      <c r="L682" s="24">
        <f t="shared" ca="1" si="139"/>
        <v>100</v>
      </c>
      <c r="M682" s="24">
        <v>400</v>
      </c>
      <c r="N682" s="24">
        <v>20</v>
      </c>
      <c r="O682" s="24">
        <f t="shared" ca="1" si="140"/>
        <v>616</v>
      </c>
      <c r="P682" s="24">
        <v>700</v>
      </c>
      <c r="Q682" s="11">
        <f t="shared" ca="1" si="141"/>
        <v>100</v>
      </c>
      <c r="R682" s="24">
        <v>200</v>
      </c>
      <c r="S682" s="24">
        <v>10</v>
      </c>
      <c r="T682" s="24">
        <f t="shared" ca="1" si="142"/>
        <v>1010</v>
      </c>
    </row>
    <row r="683" spans="1:20" x14ac:dyDescent="0.45">
      <c r="A683" s="11">
        <v>670</v>
      </c>
      <c r="B683" s="11">
        <f t="shared" ca="1" si="130"/>
        <v>7.7090366329556792E-2</v>
      </c>
      <c r="C683" s="11">
        <f t="shared" ca="1" si="131"/>
        <v>1000</v>
      </c>
      <c r="D683" s="11">
        <f t="shared" ca="1" si="132"/>
        <v>0.40831876264429623</v>
      </c>
      <c r="E683" s="11">
        <f t="shared" ca="1" si="133"/>
        <v>1200</v>
      </c>
      <c r="F683" s="11">
        <f t="shared" ca="1" si="134"/>
        <v>0.43187792347841725</v>
      </c>
      <c r="G683" s="11">
        <f t="shared" ca="1" si="135"/>
        <v>1200</v>
      </c>
      <c r="H683" s="11">
        <f t="shared" ca="1" si="136"/>
        <v>1000</v>
      </c>
      <c r="I683" s="11">
        <f t="shared" ca="1" si="137"/>
        <v>8.8496618725973808E-2</v>
      </c>
      <c r="J683" s="11">
        <f t="shared" ca="1" si="138"/>
        <v>5</v>
      </c>
      <c r="K683" s="24">
        <v>96</v>
      </c>
      <c r="L683" s="24">
        <f t="shared" ca="1" si="139"/>
        <v>50</v>
      </c>
      <c r="M683" s="24">
        <v>400</v>
      </c>
      <c r="N683" s="24">
        <v>20</v>
      </c>
      <c r="O683" s="24">
        <f t="shared" ca="1" si="140"/>
        <v>566</v>
      </c>
      <c r="P683" s="24">
        <v>701</v>
      </c>
      <c r="Q683" s="11">
        <f t="shared" ca="1" si="141"/>
        <v>50</v>
      </c>
      <c r="R683" s="24">
        <v>200</v>
      </c>
      <c r="S683" s="24">
        <v>10</v>
      </c>
      <c r="T683" s="24">
        <f t="shared" ca="1" si="142"/>
        <v>961</v>
      </c>
    </row>
    <row r="684" spans="1:20" x14ac:dyDescent="0.45">
      <c r="A684" s="11">
        <v>671</v>
      </c>
      <c r="B684" s="11">
        <f t="shared" ca="1" si="130"/>
        <v>0.51400224408276962</v>
      </c>
      <c r="C684" s="11">
        <f t="shared" ca="1" si="131"/>
        <v>1300</v>
      </c>
      <c r="D684" s="11">
        <f t="shared" ca="1" si="132"/>
        <v>0.14131556325059602</v>
      </c>
      <c r="E684" s="11">
        <f t="shared" ca="1" si="133"/>
        <v>1100</v>
      </c>
      <c r="F684" s="11">
        <f t="shared" ca="1" si="134"/>
        <v>0.34840483247524123</v>
      </c>
      <c r="G684" s="11">
        <f t="shared" ca="1" si="135"/>
        <v>1200</v>
      </c>
      <c r="H684" s="11">
        <f t="shared" ca="1" si="136"/>
        <v>1100</v>
      </c>
      <c r="I684" s="11">
        <f t="shared" ca="1" si="137"/>
        <v>0.40510916542257802</v>
      </c>
      <c r="J684" s="11">
        <f t="shared" ca="1" si="138"/>
        <v>5</v>
      </c>
      <c r="K684" s="24">
        <v>96</v>
      </c>
      <c r="L684" s="24">
        <f t="shared" ca="1" si="139"/>
        <v>50</v>
      </c>
      <c r="M684" s="24">
        <v>400</v>
      </c>
      <c r="N684" s="24">
        <v>20</v>
      </c>
      <c r="O684" s="24">
        <f t="shared" ca="1" si="140"/>
        <v>566</v>
      </c>
      <c r="P684" s="24">
        <v>702</v>
      </c>
      <c r="Q684" s="11">
        <f t="shared" ca="1" si="141"/>
        <v>50</v>
      </c>
      <c r="R684" s="24">
        <v>200</v>
      </c>
      <c r="S684" s="24">
        <v>10</v>
      </c>
      <c r="T684" s="24">
        <f t="shared" ca="1" si="142"/>
        <v>962</v>
      </c>
    </row>
    <row r="685" spans="1:20" x14ac:dyDescent="0.45">
      <c r="A685" s="11">
        <v>672</v>
      </c>
      <c r="B685" s="11">
        <f t="shared" ca="1" si="130"/>
        <v>0.66803201402410262</v>
      </c>
      <c r="C685" s="11">
        <f t="shared" ca="1" si="131"/>
        <v>1400</v>
      </c>
      <c r="D685" s="11">
        <f t="shared" ca="1" si="132"/>
        <v>0.54052123522014039</v>
      </c>
      <c r="E685" s="11">
        <f t="shared" ca="1" si="133"/>
        <v>1300</v>
      </c>
      <c r="F685" s="11">
        <f t="shared" ca="1" si="134"/>
        <v>0.11013181199486677</v>
      </c>
      <c r="G685" s="11">
        <f t="shared" ca="1" si="135"/>
        <v>1100</v>
      </c>
      <c r="H685" s="11">
        <f t="shared" ca="1" si="136"/>
        <v>1100</v>
      </c>
      <c r="I685" s="11">
        <f t="shared" ca="1" si="137"/>
        <v>6.832068649773293E-2</v>
      </c>
      <c r="J685" s="11">
        <f t="shared" ca="1" si="138"/>
        <v>5</v>
      </c>
      <c r="K685" s="24">
        <v>96</v>
      </c>
      <c r="L685" s="24">
        <f t="shared" ca="1" si="139"/>
        <v>50</v>
      </c>
      <c r="M685" s="24">
        <v>400</v>
      </c>
      <c r="N685" s="24">
        <v>20</v>
      </c>
      <c r="O685" s="24">
        <f t="shared" ca="1" si="140"/>
        <v>566</v>
      </c>
      <c r="P685" s="24">
        <v>703</v>
      </c>
      <c r="Q685" s="11">
        <f t="shared" ca="1" si="141"/>
        <v>50</v>
      </c>
      <c r="R685" s="24">
        <v>200</v>
      </c>
      <c r="S685" s="24">
        <v>10</v>
      </c>
      <c r="T685" s="24">
        <f t="shared" ca="1" si="142"/>
        <v>963</v>
      </c>
    </row>
    <row r="686" spans="1:20" x14ac:dyDescent="0.45">
      <c r="A686" s="11">
        <v>673</v>
      </c>
      <c r="B686" s="11">
        <f t="shared" ca="1" si="130"/>
        <v>0.19372752298054641</v>
      </c>
      <c r="C686" s="11">
        <f t="shared" ca="1" si="131"/>
        <v>1100</v>
      </c>
      <c r="D686" s="11">
        <f t="shared" ca="1" si="132"/>
        <v>0.23399533324023747</v>
      </c>
      <c r="E686" s="11">
        <f t="shared" ca="1" si="133"/>
        <v>1200</v>
      </c>
      <c r="F686" s="11">
        <f t="shared" ca="1" si="134"/>
        <v>6.5761786292584001E-2</v>
      </c>
      <c r="G686" s="11">
        <f t="shared" ca="1" si="135"/>
        <v>1000</v>
      </c>
      <c r="H686" s="11">
        <f t="shared" ca="1" si="136"/>
        <v>1000</v>
      </c>
      <c r="I686" s="11">
        <f t="shared" ca="1" si="137"/>
        <v>9.7921016800072147E-3</v>
      </c>
      <c r="J686" s="11">
        <f t="shared" ca="1" si="138"/>
        <v>5</v>
      </c>
      <c r="K686" s="24">
        <v>96</v>
      </c>
      <c r="L686" s="24">
        <f t="shared" ca="1" si="139"/>
        <v>50</v>
      </c>
      <c r="M686" s="24">
        <v>400</v>
      </c>
      <c r="N686" s="24">
        <v>20</v>
      </c>
      <c r="O686" s="24">
        <f t="shared" ca="1" si="140"/>
        <v>566</v>
      </c>
      <c r="P686" s="24">
        <v>704</v>
      </c>
      <c r="Q686" s="11">
        <f t="shared" ca="1" si="141"/>
        <v>50</v>
      </c>
      <c r="R686" s="24">
        <v>200</v>
      </c>
      <c r="S686" s="24">
        <v>10</v>
      </c>
      <c r="T686" s="24">
        <f t="shared" ca="1" si="142"/>
        <v>964</v>
      </c>
    </row>
    <row r="687" spans="1:20" x14ac:dyDescent="0.45">
      <c r="A687" s="11">
        <v>674</v>
      </c>
      <c r="B687" s="11">
        <f t="shared" ca="1" si="130"/>
        <v>0.59635496783536335</v>
      </c>
      <c r="C687" s="11">
        <f t="shared" ca="1" si="131"/>
        <v>1300</v>
      </c>
      <c r="D687" s="11">
        <f t="shared" ca="1" si="132"/>
        <v>0.15966211902079197</v>
      </c>
      <c r="E687" s="11">
        <f t="shared" ca="1" si="133"/>
        <v>1100</v>
      </c>
      <c r="F687" s="11">
        <f t="shared" ca="1" si="134"/>
        <v>0.16556455546616489</v>
      </c>
      <c r="G687" s="11">
        <f t="shared" ca="1" si="135"/>
        <v>1100</v>
      </c>
      <c r="H687" s="11">
        <f t="shared" ca="1" si="136"/>
        <v>1100</v>
      </c>
      <c r="I687" s="11">
        <f t="shared" ca="1" si="137"/>
        <v>7.6285827723570065E-3</v>
      </c>
      <c r="J687" s="11">
        <f t="shared" ca="1" si="138"/>
        <v>5</v>
      </c>
      <c r="K687" s="24">
        <v>96</v>
      </c>
      <c r="L687" s="24">
        <f t="shared" ca="1" si="139"/>
        <v>50</v>
      </c>
      <c r="M687" s="24">
        <v>400</v>
      </c>
      <c r="N687" s="24">
        <v>20</v>
      </c>
      <c r="O687" s="24">
        <f t="shared" ca="1" si="140"/>
        <v>566</v>
      </c>
      <c r="P687" s="24">
        <v>705</v>
      </c>
      <c r="Q687" s="11">
        <f t="shared" ca="1" si="141"/>
        <v>50</v>
      </c>
      <c r="R687" s="24">
        <v>200</v>
      </c>
      <c r="S687" s="24">
        <v>10</v>
      </c>
      <c r="T687" s="24">
        <f t="shared" ca="1" si="142"/>
        <v>965</v>
      </c>
    </row>
    <row r="688" spans="1:20" x14ac:dyDescent="0.45">
      <c r="A688" s="11">
        <v>675</v>
      </c>
      <c r="B688" s="11">
        <f t="shared" ca="1" si="130"/>
        <v>0.96955822097137889</v>
      </c>
      <c r="C688" s="11">
        <f t="shared" ca="1" si="131"/>
        <v>1900</v>
      </c>
      <c r="D688" s="11">
        <f t="shared" ca="1" si="132"/>
        <v>0.2667121589030228</v>
      </c>
      <c r="E688" s="11">
        <f t="shared" ca="1" si="133"/>
        <v>1200</v>
      </c>
      <c r="F688" s="11">
        <f t="shared" ca="1" si="134"/>
        <v>0.1677239898498385</v>
      </c>
      <c r="G688" s="11">
        <f t="shared" ca="1" si="135"/>
        <v>1100</v>
      </c>
      <c r="H688" s="11">
        <f t="shared" ca="1" si="136"/>
        <v>1100</v>
      </c>
      <c r="I688" s="11">
        <f t="shared" ca="1" si="137"/>
        <v>0.61498422312813505</v>
      </c>
      <c r="J688" s="11">
        <f t="shared" ca="1" si="138"/>
        <v>10</v>
      </c>
      <c r="K688" s="24">
        <v>96</v>
      </c>
      <c r="L688" s="24">
        <f t="shared" ca="1" si="139"/>
        <v>100</v>
      </c>
      <c r="M688" s="24">
        <v>400</v>
      </c>
      <c r="N688" s="24">
        <v>20</v>
      </c>
      <c r="O688" s="24">
        <f t="shared" ca="1" si="140"/>
        <v>616</v>
      </c>
      <c r="P688" s="24">
        <v>706</v>
      </c>
      <c r="Q688" s="11">
        <f t="shared" ca="1" si="141"/>
        <v>100</v>
      </c>
      <c r="R688" s="24">
        <v>200</v>
      </c>
      <c r="S688" s="24">
        <v>10</v>
      </c>
      <c r="T688" s="24">
        <f t="shared" ca="1" si="142"/>
        <v>1016</v>
      </c>
    </row>
    <row r="689" spans="1:20" x14ac:dyDescent="0.45">
      <c r="A689" s="11">
        <v>676</v>
      </c>
      <c r="B689" s="11">
        <f t="shared" ca="1" si="130"/>
        <v>0.32097601193758196</v>
      </c>
      <c r="C689" s="11">
        <f t="shared" ca="1" si="131"/>
        <v>1200</v>
      </c>
      <c r="D689" s="11">
        <f t="shared" ca="1" si="132"/>
        <v>0.84392456068954946</v>
      </c>
      <c r="E689" s="11">
        <f t="shared" ca="1" si="133"/>
        <v>1700</v>
      </c>
      <c r="F689" s="11">
        <f t="shared" ca="1" si="134"/>
        <v>0.13226605457305263</v>
      </c>
      <c r="G689" s="11">
        <f t="shared" ca="1" si="135"/>
        <v>1100</v>
      </c>
      <c r="H689" s="11">
        <f t="shared" ca="1" si="136"/>
        <v>1100</v>
      </c>
      <c r="I689" s="11">
        <f t="shared" ca="1" si="137"/>
        <v>0.22733161805205027</v>
      </c>
      <c r="J689" s="11">
        <f t="shared" ca="1" si="138"/>
        <v>5</v>
      </c>
      <c r="K689" s="24">
        <v>96</v>
      </c>
      <c r="L689" s="24">
        <f t="shared" ca="1" si="139"/>
        <v>50</v>
      </c>
      <c r="M689" s="24">
        <v>400</v>
      </c>
      <c r="N689" s="24">
        <v>20</v>
      </c>
      <c r="O689" s="24">
        <f t="shared" ca="1" si="140"/>
        <v>566</v>
      </c>
      <c r="P689" s="24">
        <v>707</v>
      </c>
      <c r="Q689" s="11">
        <f t="shared" ca="1" si="141"/>
        <v>50</v>
      </c>
      <c r="R689" s="24">
        <v>200</v>
      </c>
      <c r="S689" s="24">
        <v>10</v>
      </c>
      <c r="T689" s="24">
        <f t="shared" ca="1" si="142"/>
        <v>967</v>
      </c>
    </row>
    <row r="690" spans="1:20" x14ac:dyDescent="0.45">
      <c r="A690" s="11">
        <v>677</v>
      </c>
      <c r="B690" s="11">
        <f t="shared" ca="1" si="130"/>
        <v>5.9197418123440149E-2</v>
      </c>
      <c r="C690" s="11">
        <f t="shared" ca="1" si="131"/>
        <v>1000</v>
      </c>
      <c r="D690" s="11">
        <f t="shared" ca="1" si="132"/>
        <v>7.3820396934636601E-2</v>
      </c>
      <c r="E690" s="11">
        <f t="shared" ca="1" si="133"/>
        <v>1000</v>
      </c>
      <c r="F690" s="11">
        <f t="shared" ca="1" si="134"/>
        <v>0.52466752772970027</v>
      </c>
      <c r="G690" s="11">
        <f t="shared" ca="1" si="135"/>
        <v>1300</v>
      </c>
      <c r="H690" s="11">
        <f t="shared" ca="1" si="136"/>
        <v>1000</v>
      </c>
      <c r="I690" s="11">
        <f t="shared" ca="1" si="137"/>
        <v>1.175134320986182E-2</v>
      </c>
      <c r="J690" s="11">
        <f t="shared" ca="1" si="138"/>
        <v>5</v>
      </c>
      <c r="K690" s="24">
        <v>96</v>
      </c>
      <c r="L690" s="24">
        <f t="shared" ca="1" si="139"/>
        <v>50</v>
      </c>
      <c r="M690" s="24">
        <v>400</v>
      </c>
      <c r="N690" s="24">
        <v>20</v>
      </c>
      <c r="O690" s="24">
        <f t="shared" ca="1" si="140"/>
        <v>566</v>
      </c>
      <c r="P690" s="24">
        <v>708</v>
      </c>
      <c r="Q690" s="11">
        <f t="shared" ca="1" si="141"/>
        <v>50</v>
      </c>
      <c r="R690" s="24">
        <v>200</v>
      </c>
      <c r="S690" s="24">
        <v>10</v>
      </c>
      <c r="T690" s="24">
        <f t="shared" ca="1" si="142"/>
        <v>968</v>
      </c>
    </row>
    <row r="691" spans="1:20" x14ac:dyDescent="0.45">
      <c r="A691" s="11">
        <v>678</v>
      </c>
      <c r="B691" s="11">
        <f t="shared" ca="1" si="130"/>
        <v>0.45831057393575159</v>
      </c>
      <c r="C691" s="11">
        <f t="shared" ca="1" si="131"/>
        <v>1200</v>
      </c>
      <c r="D691" s="11">
        <f t="shared" ca="1" si="132"/>
        <v>0.21631865978828035</v>
      </c>
      <c r="E691" s="11">
        <f t="shared" ca="1" si="133"/>
        <v>1100</v>
      </c>
      <c r="F691" s="11">
        <f t="shared" ca="1" si="134"/>
        <v>0.8096918296960266</v>
      </c>
      <c r="G691" s="11">
        <f t="shared" ca="1" si="135"/>
        <v>1500</v>
      </c>
      <c r="H691" s="11">
        <f t="shared" ca="1" si="136"/>
        <v>1100</v>
      </c>
      <c r="I691" s="11">
        <f t="shared" ca="1" si="137"/>
        <v>0.55358114609707232</v>
      </c>
      <c r="J691" s="11">
        <f t="shared" ca="1" si="138"/>
        <v>5</v>
      </c>
      <c r="K691" s="24">
        <v>96</v>
      </c>
      <c r="L691" s="24">
        <f t="shared" ca="1" si="139"/>
        <v>50</v>
      </c>
      <c r="M691" s="24">
        <v>400</v>
      </c>
      <c r="N691" s="24">
        <v>20</v>
      </c>
      <c r="O691" s="24">
        <f t="shared" ca="1" si="140"/>
        <v>566</v>
      </c>
      <c r="P691" s="24">
        <v>709</v>
      </c>
      <c r="Q691" s="11">
        <f t="shared" ca="1" si="141"/>
        <v>50</v>
      </c>
      <c r="R691" s="24">
        <v>200</v>
      </c>
      <c r="S691" s="24">
        <v>10</v>
      </c>
      <c r="T691" s="24">
        <f t="shared" ca="1" si="142"/>
        <v>969</v>
      </c>
    </row>
    <row r="692" spans="1:20" x14ac:dyDescent="0.45">
      <c r="A692" s="11">
        <v>679</v>
      </c>
      <c r="B692" s="11">
        <f t="shared" ca="1" si="130"/>
        <v>0.31127349756156852</v>
      </c>
      <c r="C692" s="11">
        <f t="shared" ca="1" si="131"/>
        <v>1200</v>
      </c>
      <c r="D692" s="11">
        <f t="shared" ca="1" si="132"/>
        <v>0.9011575924900922</v>
      </c>
      <c r="E692" s="11">
        <f t="shared" ca="1" si="133"/>
        <v>1800</v>
      </c>
      <c r="F692" s="11">
        <f t="shared" ca="1" si="134"/>
        <v>0.74937319248332046</v>
      </c>
      <c r="G692" s="11">
        <f t="shared" ca="1" si="135"/>
        <v>1500</v>
      </c>
      <c r="H692" s="11">
        <f t="shared" ca="1" si="136"/>
        <v>1200</v>
      </c>
      <c r="I692" s="11">
        <f t="shared" ca="1" si="137"/>
        <v>0.19554858884628212</v>
      </c>
      <c r="J692" s="11">
        <f t="shared" ca="1" si="138"/>
        <v>5</v>
      </c>
      <c r="K692" s="24">
        <v>96</v>
      </c>
      <c r="L692" s="24">
        <f t="shared" ca="1" si="139"/>
        <v>50</v>
      </c>
      <c r="M692" s="24">
        <v>400</v>
      </c>
      <c r="N692" s="24">
        <v>20</v>
      </c>
      <c r="O692" s="24">
        <f t="shared" ca="1" si="140"/>
        <v>566</v>
      </c>
      <c r="P692" s="24">
        <v>710</v>
      </c>
      <c r="Q692" s="11">
        <f t="shared" ca="1" si="141"/>
        <v>50</v>
      </c>
      <c r="R692" s="24">
        <v>200</v>
      </c>
      <c r="S692" s="24">
        <v>10</v>
      </c>
      <c r="T692" s="24">
        <f t="shared" ca="1" si="142"/>
        <v>970</v>
      </c>
    </row>
    <row r="693" spans="1:20" x14ac:dyDescent="0.45">
      <c r="A693" s="11">
        <v>680</v>
      </c>
      <c r="B693" s="11">
        <f t="shared" ca="1" si="130"/>
        <v>0.79158479296700779</v>
      </c>
      <c r="C693" s="11">
        <f t="shared" ca="1" si="131"/>
        <v>1500</v>
      </c>
      <c r="D693" s="11">
        <f t="shared" ca="1" si="132"/>
        <v>0.50318227740727373</v>
      </c>
      <c r="E693" s="11">
        <f t="shared" ca="1" si="133"/>
        <v>1300</v>
      </c>
      <c r="F693" s="11">
        <f t="shared" ca="1" si="134"/>
        <v>0.11624353420916256</v>
      </c>
      <c r="G693" s="11">
        <f t="shared" ca="1" si="135"/>
        <v>1100</v>
      </c>
      <c r="H693" s="11">
        <f t="shared" ca="1" si="136"/>
        <v>1100</v>
      </c>
      <c r="I693" s="11">
        <f t="shared" ca="1" si="137"/>
        <v>0.47175015235783413</v>
      </c>
      <c r="J693" s="11">
        <f t="shared" ca="1" si="138"/>
        <v>5</v>
      </c>
      <c r="K693" s="24">
        <v>96</v>
      </c>
      <c r="L693" s="24">
        <f t="shared" ca="1" si="139"/>
        <v>50</v>
      </c>
      <c r="M693" s="24">
        <v>400</v>
      </c>
      <c r="N693" s="24">
        <v>20</v>
      </c>
      <c r="O693" s="24">
        <f t="shared" ca="1" si="140"/>
        <v>566</v>
      </c>
      <c r="P693" s="24">
        <v>711</v>
      </c>
      <c r="Q693" s="11">
        <f t="shared" ca="1" si="141"/>
        <v>50</v>
      </c>
      <c r="R693" s="24">
        <v>200</v>
      </c>
      <c r="S693" s="24">
        <v>10</v>
      </c>
      <c r="T693" s="24">
        <f t="shared" ca="1" si="142"/>
        <v>971</v>
      </c>
    </row>
    <row r="694" spans="1:20" x14ac:dyDescent="0.45">
      <c r="A694" s="11">
        <v>681</v>
      </c>
      <c r="B694" s="11">
        <f t="shared" ca="1" si="130"/>
        <v>0.10396268298179379</v>
      </c>
      <c r="C694" s="11">
        <f t="shared" ca="1" si="131"/>
        <v>1100</v>
      </c>
      <c r="D694" s="11">
        <f t="shared" ca="1" si="132"/>
        <v>0.99314800620265864</v>
      </c>
      <c r="E694" s="11">
        <f t="shared" ca="1" si="133"/>
        <v>1900</v>
      </c>
      <c r="F694" s="11">
        <f t="shared" ca="1" si="134"/>
        <v>0.9428542110047341</v>
      </c>
      <c r="G694" s="11">
        <f t="shared" ca="1" si="135"/>
        <v>1800</v>
      </c>
      <c r="H694" s="11">
        <f t="shared" ca="1" si="136"/>
        <v>1100</v>
      </c>
      <c r="I694" s="11">
        <f t="shared" ca="1" si="137"/>
        <v>0.31574736573761353</v>
      </c>
      <c r="J694" s="11">
        <f t="shared" ca="1" si="138"/>
        <v>5</v>
      </c>
      <c r="K694" s="24">
        <v>96</v>
      </c>
      <c r="L694" s="24">
        <f t="shared" ca="1" si="139"/>
        <v>50</v>
      </c>
      <c r="M694" s="24">
        <v>400</v>
      </c>
      <c r="N694" s="24">
        <v>20</v>
      </c>
      <c r="O694" s="24">
        <f t="shared" ca="1" si="140"/>
        <v>566</v>
      </c>
      <c r="P694" s="24">
        <v>712</v>
      </c>
      <c r="Q694" s="11">
        <f t="shared" ca="1" si="141"/>
        <v>50</v>
      </c>
      <c r="R694" s="24">
        <v>200</v>
      </c>
      <c r="S694" s="24">
        <v>10</v>
      </c>
      <c r="T694" s="24">
        <f t="shared" ca="1" si="142"/>
        <v>972</v>
      </c>
    </row>
    <row r="695" spans="1:20" x14ac:dyDescent="0.45">
      <c r="A695" s="11">
        <v>682</v>
      </c>
      <c r="B695" s="11">
        <f t="shared" ca="1" si="130"/>
        <v>1.2079896775169296E-2</v>
      </c>
      <c r="C695" s="11">
        <f t="shared" ca="1" si="131"/>
        <v>1000</v>
      </c>
      <c r="D695" s="11">
        <f t="shared" ca="1" si="132"/>
        <v>0.86083360592681502</v>
      </c>
      <c r="E695" s="11">
        <f t="shared" ca="1" si="133"/>
        <v>1700</v>
      </c>
      <c r="F695" s="11">
        <f t="shared" ca="1" si="134"/>
        <v>6.5746165888631691E-2</v>
      </c>
      <c r="G695" s="11">
        <f t="shared" ca="1" si="135"/>
        <v>1000</v>
      </c>
      <c r="H695" s="11">
        <f t="shared" ca="1" si="136"/>
        <v>1000</v>
      </c>
      <c r="I695" s="11">
        <f t="shared" ca="1" si="137"/>
        <v>0.51499534806826441</v>
      </c>
      <c r="J695" s="11">
        <f t="shared" ca="1" si="138"/>
        <v>5</v>
      </c>
      <c r="K695" s="24">
        <v>96</v>
      </c>
      <c r="L695" s="24">
        <f t="shared" ca="1" si="139"/>
        <v>50</v>
      </c>
      <c r="M695" s="24">
        <v>400</v>
      </c>
      <c r="N695" s="24">
        <v>20</v>
      </c>
      <c r="O695" s="24">
        <f t="shared" ca="1" si="140"/>
        <v>566</v>
      </c>
      <c r="P695" s="24">
        <v>713</v>
      </c>
      <c r="Q695" s="11">
        <f t="shared" ca="1" si="141"/>
        <v>50</v>
      </c>
      <c r="R695" s="24">
        <v>200</v>
      </c>
      <c r="S695" s="24">
        <v>10</v>
      </c>
      <c r="T695" s="24">
        <f t="shared" ca="1" si="142"/>
        <v>973</v>
      </c>
    </row>
    <row r="696" spans="1:20" x14ac:dyDescent="0.45">
      <c r="A696" s="11">
        <v>683</v>
      </c>
      <c r="B696" s="11">
        <f t="shared" ca="1" si="130"/>
        <v>0.86665478613533842</v>
      </c>
      <c r="C696" s="11">
        <f t="shared" ca="1" si="131"/>
        <v>1700</v>
      </c>
      <c r="D696" s="11">
        <f t="shared" ca="1" si="132"/>
        <v>0.37360637918174588</v>
      </c>
      <c r="E696" s="11">
        <f t="shared" ca="1" si="133"/>
        <v>1200</v>
      </c>
      <c r="F696" s="11">
        <f t="shared" ca="1" si="134"/>
        <v>0.85680395934873288</v>
      </c>
      <c r="G696" s="11">
        <f t="shared" ca="1" si="135"/>
        <v>1700</v>
      </c>
      <c r="H696" s="11">
        <f t="shared" ca="1" si="136"/>
        <v>1200</v>
      </c>
      <c r="I696" s="11">
        <f t="shared" ca="1" si="137"/>
        <v>0.46336942989774454</v>
      </c>
      <c r="J696" s="11">
        <f t="shared" ca="1" si="138"/>
        <v>5</v>
      </c>
      <c r="K696" s="24">
        <v>96</v>
      </c>
      <c r="L696" s="24">
        <f t="shared" ca="1" si="139"/>
        <v>50</v>
      </c>
      <c r="M696" s="24">
        <v>400</v>
      </c>
      <c r="N696" s="24">
        <v>20</v>
      </c>
      <c r="O696" s="24">
        <f t="shared" ca="1" si="140"/>
        <v>566</v>
      </c>
      <c r="P696" s="24">
        <v>714</v>
      </c>
      <c r="Q696" s="11">
        <f t="shared" ca="1" si="141"/>
        <v>50</v>
      </c>
      <c r="R696" s="24">
        <v>200</v>
      </c>
      <c r="S696" s="24">
        <v>10</v>
      </c>
      <c r="T696" s="24">
        <f t="shared" ca="1" si="142"/>
        <v>974</v>
      </c>
    </row>
    <row r="697" spans="1:20" x14ac:dyDescent="0.45">
      <c r="A697" s="11">
        <v>684</v>
      </c>
      <c r="B697" s="11">
        <f t="shared" ca="1" si="130"/>
        <v>0.8877173156636724</v>
      </c>
      <c r="C697" s="11">
        <f t="shared" ca="1" si="131"/>
        <v>1700</v>
      </c>
      <c r="D697" s="11">
        <f t="shared" ca="1" si="132"/>
        <v>0.82487989584215027</v>
      </c>
      <c r="E697" s="11">
        <f t="shared" ca="1" si="133"/>
        <v>1600</v>
      </c>
      <c r="F697" s="11">
        <f t="shared" ca="1" si="134"/>
        <v>0.41884378027609748</v>
      </c>
      <c r="G697" s="11">
        <f t="shared" ca="1" si="135"/>
        <v>1200</v>
      </c>
      <c r="H697" s="11">
        <f t="shared" ca="1" si="136"/>
        <v>1200</v>
      </c>
      <c r="I697" s="11">
        <f t="shared" ca="1" si="137"/>
        <v>0.27454250088823573</v>
      </c>
      <c r="J697" s="11">
        <f t="shared" ca="1" si="138"/>
        <v>5</v>
      </c>
      <c r="K697" s="24">
        <v>96</v>
      </c>
      <c r="L697" s="24">
        <f t="shared" ca="1" si="139"/>
        <v>50</v>
      </c>
      <c r="M697" s="24">
        <v>400</v>
      </c>
      <c r="N697" s="24">
        <v>20</v>
      </c>
      <c r="O697" s="24">
        <f t="shared" ca="1" si="140"/>
        <v>566</v>
      </c>
      <c r="P697" s="24">
        <v>715</v>
      </c>
      <c r="Q697" s="11">
        <f t="shared" ca="1" si="141"/>
        <v>50</v>
      </c>
      <c r="R697" s="24">
        <v>200</v>
      </c>
      <c r="S697" s="24">
        <v>10</v>
      </c>
      <c r="T697" s="24">
        <f t="shared" ca="1" si="142"/>
        <v>975</v>
      </c>
    </row>
    <row r="698" spans="1:20" x14ac:dyDescent="0.45">
      <c r="A698" s="11">
        <v>685</v>
      </c>
      <c r="B698" s="11">
        <f t="shared" ca="1" si="130"/>
        <v>6.1583478084847876E-4</v>
      </c>
      <c r="C698" s="11">
        <f t="shared" ca="1" si="131"/>
        <v>1000</v>
      </c>
      <c r="D698" s="11">
        <f t="shared" ca="1" si="132"/>
        <v>0.66312893701049169</v>
      </c>
      <c r="E698" s="11">
        <f t="shared" ca="1" si="133"/>
        <v>1400</v>
      </c>
      <c r="F698" s="11">
        <f t="shared" ca="1" si="134"/>
        <v>0.73391726007499758</v>
      </c>
      <c r="G698" s="11">
        <f t="shared" ca="1" si="135"/>
        <v>1500</v>
      </c>
      <c r="H698" s="11">
        <f t="shared" ca="1" si="136"/>
        <v>1000</v>
      </c>
      <c r="I698" s="11">
        <f t="shared" ca="1" si="137"/>
        <v>0.46370605993813285</v>
      </c>
      <c r="J698" s="11">
        <f t="shared" ca="1" si="138"/>
        <v>5</v>
      </c>
      <c r="K698" s="24">
        <v>96</v>
      </c>
      <c r="L698" s="24">
        <f t="shared" ca="1" si="139"/>
        <v>50</v>
      </c>
      <c r="M698" s="24">
        <v>400</v>
      </c>
      <c r="N698" s="24">
        <v>20</v>
      </c>
      <c r="O698" s="24">
        <f t="shared" ca="1" si="140"/>
        <v>566</v>
      </c>
      <c r="P698" s="24">
        <v>716</v>
      </c>
      <c r="Q698" s="11">
        <f t="shared" ca="1" si="141"/>
        <v>50</v>
      </c>
      <c r="R698" s="24">
        <v>200</v>
      </c>
      <c r="S698" s="24">
        <v>10</v>
      </c>
      <c r="T698" s="24">
        <f t="shared" ca="1" si="142"/>
        <v>976</v>
      </c>
    </row>
    <row r="699" spans="1:20" x14ac:dyDescent="0.45">
      <c r="A699" s="11">
        <v>686</v>
      </c>
      <c r="B699" s="11">
        <f t="shared" ca="1" si="130"/>
        <v>0.21949132719881081</v>
      </c>
      <c r="C699" s="11">
        <f t="shared" ca="1" si="131"/>
        <v>1100</v>
      </c>
      <c r="D699" s="11">
        <f t="shared" ca="1" si="132"/>
        <v>6.2923837228953561E-2</v>
      </c>
      <c r="E699" s="11">
        <f t="shared" ca="1" si="133"/>
        <v>1000</v>
      </c>
      <c r="F699" s="11">
        <f t="shared" ca="1" si="134"/>
        <v>0.44397217833892677</v>
      </c>
      <c r="G699" s="11">
        <f t="shared" ca="1" si="135"/>
        <v>1200</v>
      </c>
      <c r="H699" s="11">
        <f t="shared" ca="1" si="136"/>
        <v>1000</v>
      </c>
      <c r="I699" s="11">
        <f t="shared" ca="1" si="137"/>
        <v>0.33289762297612779</v>
      </c>
      <c r="J699" s="11">
        <f t="shared" ca="1" si="138"/>
        <v>5</v>
      </c>
      <c r="K699" s="24">
        <v>96</v>
      </c>
      <c r="L699" s="24">
        <f t="shared" ca="1" si="139"/>
        <v>50</v>
      </c>
      <c r="M699" s="24">
        <v>400</v>
      </c>
      <c r="N699" s="24">
        <v>20</v>
      </c>
      <c r="O699" s="24">
        <f t="shared" ca="1" si="140"/>
        <v>566</v>
      </c>
      <c r="P699" s="24">
        <v>717</v>
      </c>
      <c r="Q699" s="11">
        <f t="shared" ca="1" si="141"/>
        <v>50</v>
      </c>
      <c r="R699" s="24">
        <v>200</v>
      </c>
      <c r="S699" s="24">
        <v>10</v>
      </c>
      <c r="T699" s="24">
        <f t="shared" ca="1" si="142"/>
        <v>977</v>
      </c>
    </row>
    <row r="700" spans="1:20" x14ac:dyDescent="0.45">
      <c r="A700" s="11">
        <v>687</v>
      </c>
      <c r="B700" s="11">
        <f t="shared" ca="1" si="130"/>
        <v>0.22893284321833163</v>
      </c>
      <c r="C700" s="11">
        <f t="shared" ca="1" si="131"/>
        <v>1100</v>
      </c>
      <c r="D700" s="11">
        <f t="shared" ca="1" si="132"/>
        <v>0.99330801049863959</v>
      </c>
      <c r="E700" s="11">
        <f t="shared" ca="1" si="133"/>
        <v>1900</v>
      </c>
      <c r="F700" s="11">
        <f t="shared" ca="1" si="134"/>
        <v>0.2419714091703532</v>
      </c>
      <c r="G700" s="11">
        <f t="shared" ca="1" si="135"/>
        <v>1200</v>
      </c>
      <c r="H700" s="11">
        <f t="shared" ca="1" si="136"/>
        <v>1100</v>
      </c>
      <c r="I700" s="11">
        <f t="shared" ca="1" si="137"/>
        <v>0.85226888092591258</v>
      </c>
      <c r="J700" s="11">
        <f t="shared" ca="1" si="138"/>
        <v>10</v>
      </c>
      <c r="K700" s="24">
        <v>96</v>
      </c>
      <c r="L700" s="24">
        <f t="shared" ca="1" si="139"/>
        <v>100</v>
      </c>
      <c r="M700" s="24">
        <v>400</v>
      </c>
      <c r="N700" s="24">
        <v>20</v>
      </c>
      <c r="O700" s="24">
        <f t="shared" ca="1" si="140"/>
        <v>616</v>
      </c>
      <c r="P700" s="24">
        <v>718</v>
      </c>
      <c r="Q700" s="11">
        <f t="shared" ca="1" si="141"/>
        <v>100</v>
      </c>
      <c r="R700" s="24">
        <v>200</v>
      </c>
      <c r="S700" s="24">
        <v>10</v>
      </c>
      <c r="T700" s="24">
        <f t="shared" ca="1" si="142"/>
        <v>1028</v>
      </c>
    </row>
    <row r="701" spans="1:20" x14ac:dyDescent="0.45">
      <c r="A701" s="11">
        <v>688</v>
      </c>
      <c r="B701" s="11">
        <f t="shared" ca="1" si="130"/>
        <v>0.89147882130955447</v>
      </c>
      <c r="C701" s="11">
        <f t="shared" ca="1" si="131"/>
        <v>1700</v>
      </c>
      <c r="D701" s="11">
        <f t="shared" ca="1" si="132"/>
        <v>0.45591007483828672</v>
      </c>
      <c r="E701" s="11">
        <f t="shared" ca="1" si="133"/>
        <v>1200</v>
      </c>
      <c r="F701" s="11">
        <f t="shared" ca="1" si="134"/>
        <v>0.88486808481103663</v>
      </c>
      <c r="G701" s="11">
        <f t="shared" ca="1" si="135"/>
        <v>1700</v>
      </c>
      <c r="H701" s="11">
        <f t="shared" ca="1" si="136"/>
        <v>1200</v>
      </c>
      <c r="I701" s="11">
        <f t="shared" ca="1" si="137"/>
        <v>0.24156228666136714</v>
      </c>
      <c r="J701" s="11">
        <f t="shared" ca="1" si="138"/>
        <v>5</v>
      </c>
      <c r="K701" s="24">
        <v>96</v>
      </c>
      <c r="L701" s="24">
        <f t="shared" ca="1" si="139"/>
        <v>50</v>
      </c>
      <c r="M701" s="24">
        <v>400</v>
      </c>
      <c r="N701" s="24">
        <v>20</v>
      </c>
      <c r="O701" s="24">
        <f t="shared" ca="1" si="140"/>
        <v>566</v>
      </c>
      <c r="P701" s="24">
        <v>719</v>
      </c>
      <c r="Q701" s="11">
        <f t="shared" ca="1" si="141"/>
        <v>50</v>
      </c>
      <c r="R701" s="24">
        <v>200</v>
      </c>
      <c r="S701" s="24">
        <v>10</v>
      </c>
      <c r="T701" s="24">
        <f t="shared" ca="1" si="142"/>
        <v>979</v>
      </c>
    </row>
    <row r="702" spans="1:20" x14ac:dyDescent="0.45">
      <c r="A702" s="11">
        <v>689</v>
      </c>
      <c r="B702" s="11">
        <f t="shared" ca="1" si="130"/>
        <v>0.9393229115810261</v>
      </c>
      <c r="C702" s="11">
        <f t="shared" ca="1" si="131"/>
        <v>1800</v>
      </c>
      <c r="D702" s="11">
        <f t="shared" ca="1" si="132"/>
        <v>0.24308895756729376</v>
      </c>
      <c r="E702" s="11">
        <f t="shared" ca="1" si="133"/>
        <v>1200</v>
      </c>
      <c r="F702" s="11">
        <f t="shared" ca="1" si="134"/>
        <v>0.279083579358687</v>
      </c>
      <c r="G702" s="11">
        <f t="shared" ca="1" si="135"/>
        <v>1200</v>
      </c>
      <c r="H702" s="11">
        <f t="shared" ca="1" si="136"/>
        <v>1200</v>
      </c>
      <c r="I702" s="11">
        <f t="shared" ca="1" si="137"/>
        <v>0.36783465828669937</v>
      </c>
      <c r="J702" s="11">
        <f t="shared" ca="1" si="138"/>
        <v>5</v>
      </c>
      <c r="K702" s="24">
        <v>96</v>
      </c>
      <c r="L702" s="24">
        <f t="shared" ca="1" si="139"/>
        <v>50</v>
      </c>
      <c r="M702" s="24">
        <v>400</v>
      </c>
      <c r="N702" s="24">
        <v>20</v>
      </c>
      <c r="O702" s="24">
        <f t="shared" ca="1" si="140"/>
        <v>566</v>
      </c>
      <c r="P702" s="24">
        <v>720</v>
      </c>
      <c r="Q702" s="11">
        <f t="shared" ca="1" si="141"/>
        <v>50</v>
      </c>
      <c r="R702" s="24">
        <v>200</v>
      </c>
      <c r="S702" s="24">
        <v>10</v>
      </c>
      <c r="T702" s="24">
        <f t="shared" ca="1" si="142"/>
        <v>980</v>
      </c>
    </row>
    <row r="703" spans="1:20" x14ac:dyDescent="0.45">
      <c r="A703" s="11">
        <v>690</v>
      </c>
      <c r="B703" s="11">
        <f t="shared" ca="1" si="130"/>
        <v>0.33404830247802386</v>
      </c>
      <c r="C703" s="11">
        <f t="shared" ca="1" si="131"/>
        <v>1200</v>
      </c>
      <c r="D703" s="11">
        <f t="shared" ca="1" si="132"/>
        <v>3.3829777318611698E-2</v>
      </c>
      <c r="E703" s="11">
        <f t="shared" ca="1" si="133"/>
        <v>1000</v>
      </c>
      <c r="F703" s="11">
        <f t="shared" ca="1" si="134"/>
        <v>0.66872464578428281</v>
      </c>
      <c r="G703" s="11">
        <f t="shared" ca="1" si="135"/>
        <v>1400</v>
      </c>
      <c r="H703" s="11">
        <f t="shared" ca="1" si="136"/>
        <v>1000</v>
      </c>
      <c r="I703" s="11">
        <f t="shared" ca="1" si="137"/>
        <v>0.65449262410056752</v>
      </c>
      <c r="J703" s="11">
        <f t="shared" ca="1" si="138"/>
        <v>10</v>
      </c>
      <c r="K703" s="24">
        <v>96</v>
      </c>
      <c r="L703" s="24">
        <f t="shared" ca="1" si="139"/>
        <v>100</v>
      </c>
      <c r="M703" s="24">
        <v>400</v>
      </c>
      <c r="N703" s="24">
        <v>20</v>
      </c>
      <c r="O703" s="24">
        <f t="shared" ca="1" si="140"/>
        <v>616</v>
      </c>
      <c r="P703" s="24">
        <v>721</v>
      </c>
      <c r="Q703" s="11">
        <f t="shared" ca="1" si="141"/>
        <v>100</v>
      </c>
      <c r="R703" s="24">
        <v>200</v>
      </c>
      <c r="S703" s="24">
        <v>10</v>
      </c>
      <c r="T703" s="24">
        <f t="shared" ca="1" si="142"/>
        <v>1031</v>
      </c>
    </row>
    <row r="704" spans="1:20" x14ac:dyDescent="0.45">
      <c r="A704" s="11">
        <v>691</v>
      </c>
      <c r="B704" s="11">
        <f t="shared" ca="1" si="130"/>
        <v>0.13592724824401081</v>
      </c>
      <c r="C704" s="11">
        <f t="shared" ca="1" si="131"/>
        <v>1100</v>
      </c>
      <c r="D704" s="11">
        <f t="shared" ca="1" si="132"/>
        <v>0.98264614099735115</v>
      </c>
      <c r="E704" s="11">
        <f t="shared" ca="1" si="133"/>
        <v>1900</v>
      </c>
      <c r="F704" s="11">
        <f t="shared" ca="1" si="134"/>
        <v>0.38517831317567386</v>
      </c>
      <c r="G704" s="11">
        <f t="shared" ca="1" si="135"/>
        <v>1200</v>
      </c>
      <c r="H704" s="11">
        <f t="shared" ca="1" si="136"/>
        <v>1100</v>
      </c>
      <c r="I704" s="11">
        <f t="shared" ca="1" si="137"/>
        <v>5.4813427109120405E-2</v>
      </c>
      <c r="J704" s="11">
        <f t="shared" ca="1" si="138"/>
        <v>5</v>
      </c>
      <c r="K704" s="24">
        <v>96</v>
      </c>
      <c r="L704" s="24">
        <f t="shared" ca="1" si="139"/>
        <v>50</v>
      </c>
      <c r="M704" s="24">
        <v>400</v>
      </c>
      <c r="N704" s="24">
        <v>20</v>
      </c>
      <c r="O704" s="24">
        <f t="shared" ca="1" si="140"/>
        <v>566</v>
      </c>
      <c r="P704" s="24">
        <v>722</v>
      </c>
      <c r="Q704" s="11">
        <f t="shared" ca="1" si="141"/>
        <v>50</v>
      </c>
      <c r="R704" s="24">
        <v>200</v>
      </c>
      <c r="S704" s="24">
        <v>10</v>
      </c>
      <c r="T704" s="24">
        <f t="shared" ca="1" si="142"/>
        <v>982</v>
      </c>
    </row>
    <row r="705" spans="1:20" x14ac:dyDescent="0.45">
      <c r="A705" s="11">
        <v>692</v>
      </c>
      <c r="B705" s="11">
        <f t="shared" ca="1" si="130"/>
        <v>0.7238128343028174</v>
      </c>
      <c r="C705" s="11">
        <f t="shared" ca="1" si="131"/>
        <v>1500</v>
      </c>
      <c r="D705" s="11">
        <f t="shared" ca="1" si="132"/>
        <v>0.20244036697614054</v>
      </c>
      <c r="E705" s="11">
        <f t="shared" ca="1" si="133"/>
        <v>1100</v>
      </c>
      <c r="F705" s="11">
        <f t="shared" ca="1" si="134"/>
        <v>0.99949824528479214</v>
      </c>
      <c r="G705" s="11">
        <f t="shared" ca="1" si="135"/>
        <v>1900</v>
      </c>
      <c r="H705" s="11">
        <f t="shared" ca="1" si="136"/>
        <v>1100</v>
      </c>
      <c r="I705" s="11">
        <f t="shared" ca="1" si="137"/>
        <v>0.19599231198615885</v>
      </c>
      <c r="J705" s="11">
        <f t="shared" ca="1" si="138"/>
        <v>5</v>
      </c>
      <c r="K705" s="24">
        <v>96</v>
      </c>
      <c r="L705" s="24">
        <f t="shared" ca="1" si="139"/>
        <v>50</v>
      </c>
      <c r="M705" s="24">
        <v>400</v>
      </c>
      <c r="N705" s="24">
        <v>20</v>
      </c>
      <c r="O705" s="24">
        <f t="shared" ca="1" si="140"/>
        <v>566</v>
      </c>
      <c r="P705" s="24">
        <v>723</v>
      </c>
      <c r="Q705" s="11">
        <f t="shared" ca="1" si="141"/>
        <v>50</v>
      </c>
      <c r="R705" s="24">
        <v>200</v>
      </c>
      <c r="S705" s="24">
        <v>10</v>
      </c>
      <c r="T705" s="24">
        <f t="shared" ca="1" si="142"/>
        <v>983</v>
      </c>
    </row>
    <row r="706" spans="1:20" x14ac:dyDescent="0.45">
      <c r="A706" s="11">
        <v>693</v>
      </c>
      <c r="B706" s="11">
        <f t="shared" ca="1" si="130"/>
        <v>0.61396865480522367</v>
      </c>
      <c r="C706" s="11">
        <f t="shared" ca="1" si="131"/>
        <v>1400</v>
      </c>
      <c r="D706" s="11">
        <f t="shared" ca="1" si="132"/>
        <v>0.84790971675295157</v>
      </c>
      <c r="E706" s="11">
        <f t="shared" ca="1" si="133"/>
        <v>1700</v>
      </c>
      <c r="F706" s="11">
        <f t="shared" ca="1" si="134"/>
        <v>0.23102084213130158</v>
      </c>
      <c r="G706" s="11">
        <f t="shared" ca="1" si="135"/>
        <v>1200</v>
      </c>
      <c r="H706" s="11">
        <f t="shared" ca="1" si="136"/>
        <v>1200</v>
      </c>
      <c r="I706" s="11">
        <f t="shared" ca="1" si="137"/>
        <v>0.84263241306727166</v>
      </c>
      <c r="J706" s="11">
        <f t="shared" ca="1" si="138"/>
        <v>10</v>
      </c>
      <c r="K706" s="24">
        <v>96</v>
      </c>
      <c r="L706" s="24">
        <f t="shared" ca="1" si="139"/>
        <v>100</v>
      </c>
      <c r="M706" s="24">
        <v>400</v>
      </c>
      <c r="N706" s="24">
        <v>20</v>
      </c>
      <c r="O706" s="24">
        <f t="shared" ca="1" si="140"/>
        <v>616</v>
      </c>
      <c r="P706" s="24">
        <v>724</v>
      </c>
      <c r="Q706" s="11">
        <f t="shared" ca="1" si="141"/>
        <v>100</v>
      </c>
      <c r="R706" s="24">
        <v>200</v>
      </c>
      <c r="S706" s="24">
        <v>10</v>
      </c>
      <c r="T706" s="24">
        <f t="shared" ca="1" si="142"/>
        <v>1034</v>
      </c>
    </row>
    <row r="707" spans="1:20" x14ac:dyDescent="0.45">
      <c r="A707" s="11">
        <v>694</v>
      </c>
      <c r="B707" s="11">
        <f t="shared" ca="1" si="130"/>
        <v>0.98607802915764364</v>
      </c>
      <c r="C707" s="11">
        <f t="shared" ca="1" si="131"/>
        <v>1900</v>
      </c>
      <c r="D707" s="11">
        <f t="shared" ca="1" si="132"/>
        <v>0.68655115299769498</v>
      </c>
      <c r="E707" s="11">
        <f t="shared" ca="1" si="133"/>
        <v>1400</v>
      </c>
      <c r="F707" s="11">
        <f t="shared" ca="1" si="134"/>
        <v>0.21673275452015062</v>
      </c>
      <c r="G707" s="11">
        <f t="shared" ca="1" si="135"/>
        <v>1100</v>
      </c>
      <c r="H707" s="11">
        <f t="shared" ca="1" si="136"/>
        <v>1100</v>
      </c>
      <c r="I707" s="11">
        <f t="shared" ca="1" si="137"/>
        <v>0.83106572425019232</v>
      </c>
      <c r="J707" s="11">
        <f t="shared" ca="1" si="138"/>
        <v>10</v>
      </c>
      <c r="K707" s="24">
        <v>96</v>
      </c>
      <c r="L707" s="24">
        <f t="shared" ca="1" si="139"/>
        <v>100</v>
      </c>
      <c r="M707" s="24">
        <v>400</v>
      </c>
      <c r="N707" s="24">
        <v>20</v>
      </c>
      <c r="O707" s="24">
        <f t="shared" ca="1" si="140"/>
        <v>616</v>
      </c>
      <c r="P707" s="24">
        <v>725</v>
      </c>
      <c r="Q707" s="11">
        <f t="shared" ca="1" si="141"/>
        <v>100</v>
      </c>
      <c r="R707" s="24">
        <v>200</v>
      </c>
      <c r="S707" s="24">
        <v>10</v>
      </c>
      <c r="T707" s="24">
        <f t="shared" ca="1" si="142"/>
        <v>1035</v>
      </c>
    </row>
    <row r="708" spans="1:20" x14ac:dyDescent="0.45">
      <c r="A708" s="11">
        <v>695</v>
      </c>
      <c r="B708" s="11">
        <f t="shared" ca="1" si="130"/>
        <v>0.78459392198288624</v>
      </c>
      <c r="C708" s="11">
        <f t="shared" ca="1" si="131"/>
        <v>1500</v>
      </c>
      <c r="D708" s="11">
        <f t="shared" ca="1" si="132"/>
        <v>0.61965636539191882</v>
      </c>
      <c r="E708" s="11">
        <f t="shared" ca="1" si="133"/>
        <v>1400</v>
      </c>
      <c r="F708" s="11">
        <f t="shared" ca="1" si="134"/>
        <v>0.71993274541691643</v>
      </c>
      <c r="G708" s="11">
        <f t="shared" ca="1" si="135"/>
        <v>1500</v>
      </c>
      <c r="H708" s="11">
        <f t="shared" ca="1" si="136"/>
        <v>1400</v>
      </c>
      <c r="I708" s="11">
        <f t="shared" ca="1" si="137"/>
        <v>0.97387423351975622</v>
      </c>
      <c r="J708" s="11">
        <f t="shared" ca="1" si="138"/>
        <v>15</v>
      </c>
      <c r="K708" s="24">
        <v>96</v>
      </c>
      <c r="L708" s="24">
        <f t="shared" ca="1" si="139"/>
        <v>150</v>
      </c>
      <c r="M708" s="24">
        <v>400</v>
      </c>
      <c r="N708" s="24">
        <v>20</v>
      </c>
      <c r="O708" s="24">
        <f t="shared" ca="1" si="140"/>
        <v>666</v>
      </c>
      <c r="P708" s="24">
        <v>726</v>
      </c>
      <c r="Q708" s="11">
        <f t="shared" ca="1" si="141"/>
        <v>150</v>
      </c>
      <c r="R708" s="24">
        <v>200</v>
      </c>
      <c r="S708" s="24">
        <v>10</v>
      </c>
      <c r="T708" s="24">
        <f t="shared" ca="1" si="142"/>
        <v>1086</v>
      </c>
    </row>
    <row r="709" spans="1:20" x14ac:dyDescent="0.45">
      <c r="A709" s="11">
        <v>696</v>
      </c>
      <c r="B709" s="11">
        <f t="shared" ca="1" si="130"/>
        <v>0.95181440239640414</v>
      </c>
      <c r="C709" s="11">
        <f t="shared" ca="1" si="131"/>
        <v>1900</v>
      </c>
      <c r="D709" s="11">
        <f t="shared" ca="1" si="132"/>
        <v>0.43152606656055337</v>
      </c>
      <c r="E709" s="11">
        <f t="shared" ca="1" si="133"/>
        <v>1200</v>
      </c>
      <c r="F709" s="11">
        <f t="shared" ca="1" si="134"/>
        <v>0.53312263792515535</v>
      </c>
      <c r="G709" s="11">
        <f t="shared" ca="1" si="135"/>
        <v>1300</v>
      </c>
      <c r="H709" s="11">
        <f t="shared" ca="1" si="136"/>
        <v>1200</v>
      </c>
      <c r="I709" s="11">
        <f t="shared" ca="1" si="137"/>
        <v>0.54192108939985661</v>
      </c>
      <c r="J709" s="11">
        <f t="shared" ca="1" si="138"/>
        <v>5</v>
      </c>
      <c r="K709" s="24">
        <v>96</v>
      </c>
      <c r="L709" s="24">
        <f t="shared" ca="1" si="139"/>
        <v>50</v>
      </c>
      <c r="M709" s="24">
        <v>400</v>
      </c>
      <c r="N709" s="24">
        <v>20</v>
      </c>
      <c r="O709" s="24">
        <f t="shared" ca="1" si="140"/>
        <v>566</v>
      </c>
      <c r="P709" s="24">
        <v>727</v>
      </c>
      <c r="Q709" s="11">
        <f t="shared" ca="1" si="141"/>
        <v>50</v>
      </c>
      <c r="R709" s="24">
        <v>200</v>
      </c>
      <c r="S709" s="24">
        <v>10</v>
      </c>
      <c r="T709" s="24">
        <f t="shared" ca="1" si="142"/>
        <v>987</v>
      </c>
    </row>
    <row r="710" spans="1:20" x14ac:dyDescent="0.45">
      <c r="A710" s="11">
        <v>697</v>
      </c>
      <c r="B710" s="11">
        <f t="shared" ca="1" si="130"/>
        <v>0.9172696584663006</v>
      </c>
      <c r="C710" s="11">
        <f t="shared" ca="1" si="131"/>
        <v>1800</v>
      </c>
      <c r="D710" s="11">
        <f t="shared" ca="1" si="132"/>
        <v>0.76204202916437336</v>
      </c>
      <c r="E710" s="11">
        <f t="shared" ca="1" si="133"/>
        <v>1500</v>
      </c>
      <c r="F710" s="11">
        <f t="shared" ca="1" si="134"/>
        <v>8.3618211726337766E-2</v>
      </c>
      <c r="G710" s="11">
        <f t="shared" ca="1" si="135"/>
        <v>1000</v>
      </c>
      <c r="H710" s="11">
        <f t="shared" ca="1" si="136"/>
        <v>1000</v>
      </c>
      <c r="I710" s="11">
        <f t="shared" ca="1" si="137"/>
        <v>0.1913341157845404</v>
      </c>
      <c r="J710" s="11">
        <f t="shared" ca="1" si="138"/>
        <v>5</v>
      </c>
      <c r="K710" s="24">
        <v>96</v>
      </c>
      <c r="L710" s="24">
        <f t="shared" ca="1" si="139"/>
        <v>50</v>
      </c>
      <c r="M710" s="24">
        <v>400</v>
      </c>
      <c r="N710" s="24">
        <v>20</v>
      </c>
      <c r="O710" s="24">
        <f t="shared" ca="1" si="140"/>
        <v>566</v>
      </c>
      <c r="P710" s="24">
        <v>728</v>
      </c>
      <c r="Q710" s="11">
        <f t="shared" ca="1" si="141"/>
        <v>50</v>
      </c>
      <c r="R710" s="24">
        <v>200</v>
      </c>
      <c r="S710" s="24">
        <v>10</v>
      </c>
      <c r="T710" s="24">
        <f t="shared" ca="1" si="142"/>
        <v>988</v>
      </c>
    </row>
    <row r="711" spans="1:20" x14ac:dyDescent="0.45">
      <c r="A711" s="11">
        <v>698</v>
      </c>
      <c r="B711" s="11">
        <f t="shared" ca="1" si="130"/>
        <v>0.47705067770445497</v>
      </c>
      <c r="C711" s="11">
        <f t="shared" ca="1" si="131"/>
        <v>1200</v>
      </c>
      <c r="D711" s="11">
        <f t="shared" ca="1" si="132"/>
        <v>6.2049548801429322E-2</v>
      </c>
      <c r="E711" s="11">
        <f t="shared" ca="1" si="133"/>
        <v>1000</v>
      </c>
      <c r="F711" s="11">
        <f t="shared" ca="1" si="134"/>
        <v>0.88732473440278847</v>
      </c>
      <c r="G711" s="11">
        <f t="shared" ca="1" si="135"/>
        <v>1700</v>
      </c>
      <c r="H711" s="11">
        <f t="shared" ca="1" si="136"/>
        <v>1000</v>
      </c>
      <c r="I711" s="11">
        <f t="shared" ca="1" si="137"/>
        <v>0.53756392469048186</v>
      </c>
      <c r="J711" s="11">
        <f t="shared" ca="1" si="138"/>
        <v>5</v>
      </c>
      <c r="K711" s="24">
        <v>96</v>
      </c>
      <c r="L711" s="24">
        <f t="shared" ca="1" si="139"/>
        <v>50</v>
      </c>
      <c r="M711" s="24">
        <v>400</v>
      </c>
      <c r="N711" s="24">
        <v>20</v>
      </c>
      <c r="O711" s="24">
        <f t="shared" ca="1" si="140"/>
        <v>566</v>
      </c>
      <c r="P711" s="24">
        <v>729</v>
      </c>
      <c r="Q711" s="11">
        <f t="shared" ca="1" si="141"/>
        <v>50</v>
      </c>
      <c r="R711" s="24">
        <v>200</v>
      </c>
      <c r="S711" s="24">
        <v>10</v>
      </c>
      <c r="T711" s="24">
        <f t="shared" ca="1" si="142"/>
        <v>989</v>
      </c>
    </row>
    <row r="712" spans="1:20" x14ac:dyDescent="0.45">
      <c r="A712" s="11">
        <v>699</v>
      </c>
      <c r="B712" s="11">
        <f t="shared" ca="1" si="130"/>
        <v>0.91267442190547032</v>
      </c>
      <c r="C712" s="11">
        <f t="shared" ca="1" si="131"/>
        <v>1800</v>
      </c>
      <c r="D712" s="11">
        <f t="shared" ca="1" si="132"/>
        <v>0.7151348023932832</v>
      </c>
      <c r="E712" s="11">
        <f t="shared" ca="1" si="133"/>
        <v>1500</v>
      </c>
      <c r="F712" s="11">
        <f t="shared" ca="1" si="134"/>
        <v>0.12354719911370493</v>
      </c>
      <c r="G712" s="11">
        <f t="shared" ca="1" si="135"/>
        <v>1100</v>
      </c>
      <c r="H712" s="11">
        <f t="shared" ca="1" si="136"/>
        <v>1100</v>
      </c>
      <c r="I712" s="11">
        <f t="shared" ca="1" si="137"/>
        <v>0.40099932235179003</v>
      </c>
      <c r="J712" s="11">
        <f t="shared" ca="1" si="138"/>
        <v>5</v>
      </c>
      <c r="K712" s="24">
        <v>96</v>
      </c>
      <c r="L712" s="24">
        <f t="shared" ca="1" si="139"/>
        <v>50</v>
      </c>
      <c r="M712" s="24">
        <v>400</v>
      </c>
      <c r="N712" s="24">
        <v>20</v>
      </c>
      <c r="O712" s="24">
        <f t="shared" ca="1" si="140"/>
        <v>566</v>
      </c>
      <c r="P712" s="24">
        <v>730</v>
      </c>
      <c r="Q712" s="11">
        <f t="shared" ca="1" si="141"/>
        <v>50</v>
      </c>
      <c r="R712" s="24">
        <v>200</v>
      </c>
      <c r="S712" s="24">
        <v>10</v>
      </c>
      <c r="T712" s="24">
        <f t="shared" ca="1" si="142"/>
        <v>990</v>
      </c>
    </row>
    <row r="713" spans="1:20" x14ac:dyDescent="0.45">
      <c r="A713" s="11">
        <v>700</v>
      </c>
      <c r="B713" s="11">
        <f t="shared" ca="1" si="130"/>
        <v>0.16295997652725192</v>
      </c>
      <c r="C713" s="11">
        <f t="shared" ca="1" si="131"/>
        <v>1100</v>
      </c>
      <c r="D713" s="11">
        <f t="shared" ca="1" si="132"/>
        <v>0.7710940062437166</v>
      </c>
      <c r="E713" s="11">
        <f t="shared" ca="1" si="133"/>
        <v>1500</v>
      </c>
      <c r="F713" s="11">
        <f t="shared" ca="1" si="134"/>
        <v>0.6063873695906381</v>
      </c>
      <c r="G713" s="11">
        <f t="shared" ca="1" si="135"/>
        <v>1300</v>
      </c>
      <c r="H713" s="11">
        <f t="shared" ca="1" si="136"/>
        <v>1100</v>
      </c>
      <c r="I713" s="11">
        <f t="shared" ca="1" si="137"/>
        <v>0.94160428186016509</v>
      </c>
      <c r="J713" s="11">
        <f t="shared" ca="1" si="138"/>
        <v>15</v>
      </c>
      <c r="K713" s="24">
        <v>96</v>
      </c>
      <c r="L713" s="24">
        <f t="shared" ca="1" si="139"/>
        <v>150</v>
      </c>
      <c r="M713" s="24">
        <v>400</v>
      </c>
      <c r="N713" s="24">
        <v>20</v>
      </c>
      <c r="O713" s="24">
        <f t="shared" ca="1" si="140"/>
        <v>666</v>
      </c>
      <c r="P713" s="24">
        <v>731</v>
      </c>
      <c r="Q713" s="11">
        <f t="shared" ca="1" si="141"/>
        <v>150</v>
      </c>
      <c r="R713" s="24">
        <v>200</v>
      </c>
      <c r="S713" s="24">
        <v>10</v>
      </c>
      <c r="T713" s="24">
        <f t="shared" ca="1" si="142"/>
        <v>1091</v>
      </c>
    </row>
    <row r="714" spans="1:20" x14ac:dyDescent="0.45">
      <c r="A714" s="11">
        <v>701</v>
      </c>
      <c r="B714" s="11">
        <f t="shared" ca="1" si="130"/>
        <v>0.57238750289966089</v>
      </c>
      <c r="C714" s="11">
        <f t="shared" ca="1" si="131"/>
        <v>1300</v>
      </c>
      <c r="D714" s="11">
        <f t="shared" ca="1" si="132"/>
        <v>0.80314834851278016</v>
      </c>
      <c r="E714" s="11">
        <f t="shared" ca="1" si="133"/>
        <v>1500</v>
      </c>
      <c r="F714" s="11">
        <f t="shared" ca="1" si="134"/>
        <v>0.77375440005241347</v>
      </c>
      <c r="G714" s="11">
        <f t="shared" ca="1" si="135"/>
        <v>1500</v>
      </c>
      <c r="H714" s="11">
        <f t="shared" ca="1" si="136"/>
        <v>1300</v>
      </c>
      <c r="I714" s="11">
        <f t="shared" ca="1" si="137"/>
        <v>0.27515513303552241</v>
      </c>
      <c r="J714" s="11">
        <f t="shared" ca="1" si="138"/>
        <v>5</v>
      </c>
      <c r="K714" s="24">
        <v>96</v>
      </c>
      <c r="L714" s="24">
        <f t="shared" ca="1" si="139"/>
        <v>50</v>
      </c>
      <c r="M714" s="24">
        <v>400</v>
      </c>
      <c r="N714" s="24">
        <v>20</v>
      </c>
      <c r="O714" s="24">
        <f t="shared" ca="1" si="140"/>
        <v>566</v>
      </c>
      <c r="P714" s="24">
        <v>732</v>
      </c>
      <c r="Q714" s="11">
        <f t="shared" ca="1" si="141"/>
        <v>50</v>
      </c>
      <c r="R714" s="24">
        <v>200</v>
      </c>
      <c r="S714" s="24">
        <v>10</v>
      </c>
      <c r="T714" s="24">
        <f t="shared" ca="1" si="142"/>
        <v>992</v>
      </c>
    </row>
    <row r="715" spans="1:20" x14ac:dyDescent="0.45">
      <c r="A715" s="11">
        <v>702</v>
      </c>
      <c r="B715" s="11">
        <f t="shared" ca="1" si="130"/>
        <v>0.75725353922356542</v>
      </c>
      <c r="C715" s="11">
        <f t="shared" ca="1" si="131"/>
        <v>1500</v>
      </c>
      <c r="D715" s="11">
        <f t="shared" ca="1" si="132"/>
        <v>0.92415199729603581</v>
      </c>
      <c r="E715" s="11">
        <f t="shared" ca="1" si="133"/>
        <v>1800</v>
      </c>
      <c r="F715" s="11">
        <f t="shared" ca="1" si="134"/>
        <v>0.93019086975068166</v>
      </c>
      <c r="G715" s="11">
        <f t="shared" ca="1" si="135"/>
        <v>1800</v>
      </c>
      <c r="H715" s="11">
        <f t="shared" ca="1" si="136"/>
        <v>1500</v>
      </c>
      <c r="I715" s="11">
        <f t="shared" ca="1" si="137"/>
        <v>0.73647416743383154</v>
      </c>
      <c r="J715" s="11">
        <f t="shared" ca="1" si="138"/>
        <v>10</v>
      </c>
      <c r="K715" s="24">
        <v>96</v>
      </c>
      <c r="L715" s="24">
        <f t="shared" ca="1" si="139"/>
        <v>100</v>
      </c>
      <c r="M715" s="24">
        <v>400</v>
      </c>
      <c r="N715" s="24">
        <v>20</v>
      </c>
      <c r="O715" s="24">
        <f t="shared" ca="1" si="140"/>
        <v>616</v>
      </c>
      <c r="P715" s="24">
        <v>733</v>
      </c>
      <c r="Q715" s="11">
        <f t="shared" ca="1" si="141"/>
        <v>100</v>
      </c>
      <c r="R715" s="24">
        <v>200</v>
      </c>
      <c r="S715" s="24">
        <v>10</v>
      </c>
      <c r="T715" s="24">
        <f t="shared" ca="1" si="142"/>
        <v>1043</v>
      </c>
    </row>
    <row r="716" spans="1:20" x14ac:dyDescent="0.45">
      <c r="A716" s="11">
        <v>703</v>
      </c>
      <c r="B716" s="11">
        <f t="shared" ca="1" si="130"/>
        <v>0.53961827972043197</v>
      </c>
      <c r="C716" s="11">
        <f t="shared" ca="1" si="131"/>
        <v>1300</v>
      </c>
      <c r="D716" s="11">
        <f t="shared" ca="1" si="132"/>
        <v>0.15283185839116975</v>
      </c>
      <c r="E716" s="11">
        <f t="shared" ca="1" si="133"/>
        <v>1100</v>
      </c>
      <c r="F716" s="11">
        <f t="shared" ca="1" si="134"/>
        <v>0.23093309150705155</v>
      </c>
      <c r="G716" s="11">
        <f t="shared" ca="1" si="135"/>
        <v>1200</v>
      </c>
      <c r="H716" s="11">
        <f t="shared" ca="1" si="136"/>
        <v>1100</v>
      </c>
      <c r="I716" s="11">
        <f t="shared" ca="1" si="137"/>
        <v>0.15092785856555546</v>
      </c>
      <c r="J716" s="11">
        <f t="shared" ca="1" si="138"/>
        <v>5</v>
      </c>
      <c r="K716" s="24">
        <v>96</v>
      </c>
      <c r="L716" s="24">
        <f t="shared" ca="1" si="139"/>
        <v>50</v>
      </c>
      <c r="M716" s="24">
        <v>400</v>
      </c>
      <c r="N716" s="24">
        <v>20</v>
      </c>
      <c r="O716" s="24">
        <f t="shared" ca="1" si="140"/>
        <v>566</v>
      </c>
      <c r="P716" s="24">
        <v>734</v>
      </c>
      <c r="Q716" s="11">
        <f t="shared" ca="1" si="141"/>
        <v>50</v>
      </c>
      <c r="R716" s="24">
        <v>200</v>
      </c>
      <c r="S716" s="24">
        <v>10</v>
      </c>
      <c r="T716" s="24">
        <f t="shared" ca="1" si="142"/>
        <v>994</v>
      </c>
    </row>
    <row r="717" spans="1:20" x14ac:dyDescent="0.45">
      <c r="A717" s="11">
        <v>704</v>
      </c>
      <c r="B717" s="11">
        <f t="shared" ca="1" si="130"/>
        <v>0.52515723697310723</v>
      </c>
      <c r="C717" s="11">
        <f t="shared" ca="1" si="131"/>
        <v>1300</v>
      </c>
      <c r="D717" s="11">
        <f t="shared" ca="1" si="132"/>
        <v>0.13448690685275233</v>
      </c>
      <c r="E717" s="11">
        <f t="shared" ca="1" si="133"/>
        <v>1100</v>
      </c>
      <c r="F717" s="11">
        <f t="shared" ca="1" si="134"/>
        <v>5.3438587675436744E-2</v>
      </c>
      <c r="G717" s="11">
        <f t="shared" ca="1" si="135"/>
        <v>1000</v>
      </c>
      <c r="H717" s="11">
        <f t="shared" ca="1" si="136"/>
        <v>1000</v>
      </c>
      <c r="I717" s="11">
        <f t="shared" ca="1" si="137"/>
        <v>0.38358964549543129</v>
      </c>
      <c r="J717" s="11">
        <f t="shared" ca="1" si="138"/>
        <v>5</v>
      </c>
      <c r="K717" s="24">
        <v>96</v>
      </c>
      <c r="L717" s="24">
        <f t="shared" ca="1" si="139"/>
        <v>50</v>
      </c>
      <c r="M717" s="24">
        <v>400</v>
      </c>
      <c r="N717" s="24">
        <v>20</v>
      </c>
      <c r="O717" s="24">
        <f t="shared" ca="1" si="140"/>
        <v>566</v>
      </c>
      <c r="P717" s="24">
        <v>735</v>
      </c>
      <c r="Q717" s="11">
        <f t="shared" ca="1" si="141"/>
        <v>50</v>
      </c>
      <c r="R717" s="24">
        <v>200</v>
      </c>
      <c r="S717" s="24">
        <v>10</v>
      </c>
      <c r="T717" s="24">
        <f t="shared" ca="1" si="142"/>
        <v>995</v>
      </c>
    </row>
    <row r="718" spans="1:20" x14ac:dyDescent="0.45">
      <c r="A718" s="11">
        <v>705</v>
      </c>
      <c r="B718" s="11">
        <f t="shared" ca="1" si="130"/>
        <v>4.2985035698751561E-3</v>
      </c>
      <c r="C718" s="11">
        <f t="shared" ca="1" si="131"/>
        <v>1000</v>
      </c>
      <c r="D718" s="11">
        <f t="shared" ca="1" si="132"/>
        <v>0.97067393147432568</v>
      </c>
      <c r="E718" s="11">
        <f t="shared" ca="1" si="133"/>
        <v>1900</v>
      </c>
      <c r="F718" s="11">
        <f t="shared" ca="1" si="134"/>
        <v>0.12239772640749336</v>
      </c>
      <c r="G718" s="11">
        <f t="shared" ca="1" si="135"/>
        <v>1100</v>
      </c>
      <c r="H718" s="11">
        <f t="shared" ca="1" si="136"/>
        <v>1000</v>
      </c>
      <c r="I718" s="11">
        <f t="shared" ca="1" si="137"/>
        <v>0.92190086452003472</v>
      </c>
      <c r="J718" s="11">
        <f t="shared" ca="1" si="138"/>
        <v>15</v>
      </c>
      <c r="K718" s="24">
        <v>96</v>
      </c>
      <c r="L718" s="24">
        <f t="shared" ca="1" si="139"/>
        <v>150</v>
      </c>
      <c r="M718" s="24">
        <v>400</v>
      </c>
      <c r="N718" s="24">
        <v>20</v>
      </c>
      <c r="O718" s="24">
        <f t="shared" ca="1" si="140"/>
        <v>666</v>
      </c>
      <c r="P718" s="24">
        <v>736</v>
      </c>
      <c r="Q718" s="11">
        <f t="shared" ca="1" si="141"/>
        <v>150</v>
      </c>
      <c r="R718" s="24">
        <v>200</v>
      </c>
      <c r="S718" s="24">
        <v>10</v>
      </c>
      <c r="T718" s="24">
        <f t="shared" ca="1" si="142"/>
        <v>1096</v>
      </c>
    </row>
    <row r="719" spans="1:20" x14ac:dyDescent="0.45">
      <c r="A719" s="11">
        <v>706</v>
      </c>
      <c r="B719" s="11">
        <f t="shared" ref="B719:B782" ca="1" si="143">RAND()</f>
        <v>0.24964942498464404</v>
      </c>
      <c r="C719" s="11">
        <f t="shared" ref="C719:C782" ca="1" si="144">LOOKUP(B719, $C$2:$C$11, $A$2:$A$11)</f>
        <v>1200</v>
      </c>
      <c r="D719" s="11">
        <f t="shared" ref="D719:D782" ca="1" si="145">RAND()</f>
        <v>0.73092256493359797</v>
      </c>
      <c r="E719" s="11">
        <f t="shared" ref="E719:E782" ca="1" si="146">LOOKUP(D719, $C$2:$C$11, $A$2:$A$11)</f>
        <v>1500</v>
      </c>
      <c r="F719" s="11">
        <f t="shared" ref="F719:F782" ca="1" si="147">RAND()</f>
        <v>0.26455128510432757</v>
      </c>
      <c r="G719" s="11">
        <f t="shared" ref="G719:G782" ca="1" si="148">LOOKUP(F719, $C$2:$C$11, $A$2:$A$11)</f>
        <v>1200</v>
      </c>
      <c r="H719" s="11">
        <f t="shared" ref="H719:H782" ca="1" si="149">MIN(C719, E719, G719)</f>
        <v>1200</v>
      </c>
      <c r="I719" s="11">
        <f t="shared" ref="I719:I782" ca="1" si="150">RAND()</f>
        <v>0.19956109739617933</v>
      </c>
      <c r="J719" s="11">
        <f t="shared" ref="J719:J782" ca="1" si="151">LOOKUP(I719, $G$2:$G$4, $E$2:$E$4)</f>
        <v>5</v>
      </c>
      <c r="K719" s="24">
        <v>96</v>
      </c>
      <c r="L719" s="24">
        <f t="shared" ref="L719:L782" ca="1" si="152">J719*10</f>
        <v>50</v>
      </c>
      <c r="M719" s="24">
        <v>400</v>
      </c>
      <c r="N719" s="24">
        <v>20</v>
      </c>
      <c r="O719" s="24">
        <f t="shared" ref="O719:O782" ca="1" si="153">K719+L719+M719+N719</f>
        <v>566</v>
      </c>
      <c r="P719" s="24">
        <v>737</v>
      </c>
      <c r="Q719" s="11">
        <f t="shared" ref="Q719:Q782" ca="1" si="154">J719*10</f>
        <v>50</v>
      </c>
      <c r="R719" s="24">
        <v>200</v>
      </c>
      <c r="S719" s="24">
        <v>10</v>
      </c>
      <c r="T719" s="24">
        <f t="shared" ref="T719:T782" ca="1" si="155">SUM(P719:S719)</f>
        <v>997</v>
      </c>
    </row>
    <row r="720" spans="1:20" x14ac:dyDescent="0.45">
      <c r="A720" s="11">
        <v>707</v>
      </c>
      <c r="B720" s="11">
        <f t="shared" ca="1" si="143"/>
        <v>0.23301522430065702</v>
      </c>
      <c r="C720" s="11">
        <f t="shared" ca="1" si="144"/>
        <v>1200</v>
      </c>
      <c r="D720" s="11">
        <f t="shared" ca="1" si="145"/>
        <v>0.59496056883672532</v>
      </c>
      <c r="E720" s="11">
        <f t="shared" ca="1" si="146"/>
        <v>1300</v>
      </c>
      <c r="F720" s="11">
        <f t="shared" ca="1" si="147"/>
        <v>0.20168908189450785</v>
      </c>
      <c r="G720" s="11">
        <f t="shared" ca="1" si="148"/>
        <v>1100</v>
      </c>
      <c r="H720" s="11">
        <f t="shared" ca="1" si="149"/>
        <v>1100</v>
      </c>
      <c r="I720" s="11">
        <f t="shared" ca="1" si="150"/>
        <v>5.1417741930193661E-2</v>
      </c>
      <c r="J720" s="11">
        <f t="shared" ca="1" si="151"/>
        <v>5</v>
      </c>
      <c r="K720" s="24">
        <v>96</v>
      </c>
      <c r="L720" s="24">
        <f t="shared" ca="1" si="152"/>
        <v>50</v>
      </c>
      <c r="M720" s="24">
        <v>400</v>
      </c>
      <c r="N720" s="24">
        <v>20</v>
      </c>
      <c r="O720" s="24">
        <f t="shared" ca="1" si="153"/>
        <v>566</v>
      </c>
      <c r="P720" s="24">
        <v>738</v>
      </c>
      <c r="Q720" s="11">
        <f t="shared" ca="1" si="154"/>
        <v>50</v>
      </c>
      <c r="R720" s="24">
        <v>200</v>
      </c>
      <c r="S720" s="24">
        <v>10</v>
      </c>
      <c r="T720" s="24">
        <f t="shared" ca="1" si="155"/>
        <v>998</v>
      </c>
    </row>
    <row r="721" spans="1:20" x14ac:dyDescent="0.45">
      <c r="A721" s="11">
        <v>708</v>
      </c>
      <c r="B721" s="11">
        <f t="shared" ca="1" si="143"/>
        <v>0.30999411044992997</v>
      </c>
      <c r="C721" s="11">
        <f t="shared" ca="1" si="144"/>
        <v>1200</v>
      </c>
      <c r="D721" s="11">
        <f t="shared" ca="1" si="145"/>
        <v>0.3824512382663936</v>
      </c>
      <c r="E721" s="11">
        <f t="shared" ca="1" si="146"/>
        <v>1200</v>
      </c>
      <c r="F721" s="11">
        <f t="shared" ca="1" si="147"/>
        <v>0.56549147954236434</v>
      </c>
      <c r="G721" s="11">
        <f t="shared" ca="1" si="148"/>
        <v>1300</v>
      </c>
      <c r="H721" s="11">
        <f t="shared" ca="1" si="149"/>
        <v>1200</v>
      </c>
      <c r="I721" s="11">
        <f t="shared" ca="1" si="150"/>
        <v>0.45544552162641116</v>
      </c>
      <c r="J721" s="11">
        <f t="shared" ca="1" si="151"/>
        <v>5</v>
      </c>
      <c r="K721" s="24">
        <v>96</v>
      </c>
      <c r="L721" s="24">
        <f t="shared" ca="1" si="152"/>
        <v>50</v>
      </c>
      <c r="M721" s="24">
        <v>400</v>
      </c>
      <c r="N721" s="24">
        <v>20</v>
      </c>
      <c r="O721" s="24">
        <f t="shared" ca="1" si="153"/>
        <v>566</v>
      </c>
      <c r="P721" s="24">
        <v>739</v>
      </c>
      <c r="Q721" s="11">
        <f t="shared" ca="1" si="154"/>
        <v>50</v>
      </c>
      <c r="R721" s="24">
        <v>200</v>
      </c>
      <c r="S721" s="24">
        <v>10</v>
      </c>
      <c r="T721" s="24">
        <f t="shared" ca="1" si="155"/>
        <v>999</v>
      </c>
    </row>
    <row r="722" spans="1:20" x14ac:dyDescent="0.45">
      <c r="A722" s="11">
        <v>709</v>
      </c>
      <c r="B722" s="11">
        <f t="shared" ca="1" si="143"/>
        <v>0.78985419042571969</v>
      </c>
      <c r="C722" s="11">
        <f t="shared" ca="1" si="144"/>
        <v>1500</v>
      </c>
      <c r="D722" s="11">
        <f t="shared" ca="1" si="145"/>
        <v>0.58215964620341343</v>
      </c>
      <c r="E722" s="11">
        <f t="shared" ca="1" si="146"/>
        <v>1300</v>
      </c>
      <c r="F722" s="11">
        <f t="shared" ca="1" si="147"/>
        <v>0.307404597652707</v>
      </c>
      <c r="G722" s="11">
        <f t="shared" ca="1" si="148"/>
        <v>1200</v>
      </c>
      <c r="H722" s="11">
        <f t="shared" ca="1" si="149"/>
        <v>1200</v>
      </c>
      <c r="I722" s="11">
        <f t="shared" ca="1" si="150"/>
        <v>0.56475974742716228</v>
      </c>
      <c r="J722" s="11">
        <f t="shared" ca="1" si="151"/>
        <v>5</v>
      </c>
      <c r="K722" s="24">
        <v>96</v>
      </c>
      <c r="L722" s="24">
        <f t="shared" ca="1" si="152"/>
        <v>50</v>
      </c>
      <c r="M722" s="24">
        <v>400</v>
      </c>
      <c r="N722" s="24">
        <v>20</v>
      </c>
      <c r="O722" s="24">
        <f t="shared" ca="1" si="153"/>
        <v>566</v>
      </c>
      <c r="P722" s="24">
        <v>740</v>
      </c>
      <c r="Q722" s="11">
        <f t="shared" ca="1" si="154"/>
        <v>50</v>
      </c>
      <c r="R722" s="24">
        <v>200</v>
      </c>
      <c r="S722" s="24">
        <v>10</v>
      </c>
      <c r="T722" s="24">
        <f t="shared" ca="1" si="155"/>
        <v>1000</v>
      </c>
    </row>
    <row r="723" spans="1:20" x14ac:dyDescent="0.45">
      <c r="A723" s="11">
        <v>710</v>
      </c>
      <c r="B723" s="11">
        <f t="shared" ca="1" si="143"/>
        <v>0.37910622506379499</v>
      </c>
      <c r="C723" s="11">
        <f t="shared" ca="1" si="144"/>
        <v>1200</v>
      </c>
      <c r="D723" s="11">
        <f t="shared" ca="1" si="145"/>
        <v>0.97357967274705504</v>
      </c>
      <c r="E723" s="11">
        <f t="shared" ca="1" si="146"/>
        <v>1900</v>
      </c>
      <c r="F723" s="11">
        <f t="shared" ca="1" si="147"/>
        <v>3.6179317984167514E-2</v>
      </c>
      <c r="G723" s="11">
        <f t="shared" ca="1" si="148"/>
        <v>1000</v>
      </c>
      <c r="H723" s="11">
        <f t="shared" ca="1" si="149"/>
        <v>1000</v>
      </c>
      <c r="I723" s="11">
        <f t="shared" ca="1" si="150"/>
        <v>0.87248827242734917</v>
      </c>
      <c r="J723" s="11">
        <f t="shared" ca="1" si="151"/>
        <v>10</v>
      </c>
      <c r="K723" s="24">
        <v>96</v>
      </c>
      <c r="L723" s="24">
        <f t="shared" ca="1" si="152"/>
        <v>100</v>
      </c>
      <c r="M723" s="24">
        <v>400</v>
      </c>
      <c r="N723" s="24">
        <v>20</v>
      </c>
      <c r="O723" s="24">
        <f t="shared" ca="1" si="153"/>
        <v>616</v>
      </c>
      <c r="P723" s="24">
        <v>741</v>
      </c>
      <c r="Q723" s="11">
        <f t="shared" ca="1" si="154"/>
        <v>100</v>
      </c>
      <c r="R723" s="24">
        <v>200</v>
      </c>
      <c r="S723" s="24">
        <v>10</v>
      </c>
      <c r="T723" s="24">
        <f t="shared" ca="1" si="155"/>
        <v>1051</v>
      </c>
    </row>
    <row r="724" spans="1:20" x14ac:dyDescent="0.45">
      <c r="A724" s="11">
        <v>711</v>
      </c>
      <c r="B724" s="11">
        <f t="shared" ca="1" si="143"/>
        <v>0.45087174792587004</v>
      </c>
      <c r="C724" s="11">
        <f t="shared" ca="1" si="144"/>
        <v>1200</v>
      </c>
      <c r="D724" s="11">
        <f t="shared" ca="1" si="145"/>
        <v>0.63974655245935752</v>
      </c>
      <c r="E724" s="11">
        <f t="shared" ca="1" si="146"/>
        <v>1400</v>
      </c>
      <c r="F724" s="11">
        <f t="shared" ca="1" si="147"/>
        <v>0.74275878963143183</v>
      </c>
      <c r="G724" s="11">
        <f t="shared" ca="1" si="148"/>
        <v>1500</v>
      </c>
      <c r="H724" s="11">
        <f t="shared" ca="1" si="149"/>
        <v>1200</v>
      </c>
      <c r="I724" s="11">
        <f t="shared" ca="1" si="150"/>
        <v>0.66016284563309569</v>
      </c>
      <c r="J724" s="11">
        <f t="shared" ca="1" si="151"/>
        <v>10</v>
      </c>
      <c r="K724" s="24">
        <v>96</v>
      </c>
      <c r="L724" s="24">
        <f t="shared" ca="1" si="152"/>
        <v>100</v>
      </c>
      <c r="M724" s="24">
        <v>400</v>
      </c>
      <c r="N724" s="24">
        <v>20</v>
      </c>
      <c r="O724" s="24">
        <f t="shared" ca="1" si="153"/>
        <v>616</v>
      </c>
      <c r="P724" s="24">
        <v>742</v>
      </c>
      <c r="Q724" s="11">
        <f t="shared" ca="1" si="154"/>
        <v>100</v>
      </c>
      <c r="R724" s="24">
        <v>200</v>
      </c>
      <c r="S724" s="24">
        <v>10</v>
      </c>
      <c r="T724" s="24">
        <f t="shared" ca="1" si="155"/>
        <v>1052</v>
      </c>
    </row>
    <row r="725" spans="1:20" x14ac:dyDescent="0.45">
      <c r="A725" s="11">
        <v>712</v>
      </c>
      <c r="B725" s="11">
        <f t="shared" ca="1" si="143"/>
        <v>0.1715359825266789</v>
      </c>
      <c r="C725" s="11">
        <f t="shared" ca="1" si="144"/>
        <v>1100</v>
      </c>
      <c r="D725" s="11">
        <f t="shared" ca="1" si="145"/>
        <v>0.63389136891917974</v>
      </c>
      <c r="E725" s="11">
        <f t="shared" ca="1" si="146"/>
        <v>1400</v>
      </c>
      <c r="F725" s="11">
        <f t="shared" ca="1" si="147"/>
        <v>0.39640767156250289</v>
      </c>
      <c r="G725" s="11">
        <f t="shared" ca="1" si="148"/>
        <v>1200</v>
      </c>
      <c r="H725" s="11">
        <f t="shared" ca="1" si="149"/>
        <v>1100</v>
      </c>
      <c r="I725" s="11">
        <f t="shared" ca="1" si="150"/>
        <v>0.2128019477977926</v>
      </c>
      <c r="J725" s="11">
        <f t="shared" ca="1" si="151"/>
        <v>5</v>
      </c>
      <c r="K725" s="24">
        <v>96</v>
      </c>
      <c r="L725" s="24">
        <f t="shared" ca="1" si="152"/>
        <v>50</v>
      </c>
      <c r="M725" s="24">
        <v>400</v>
      </c>
      <c r="N725" s="24">
        <v>20</v>
      </c>
      <c r="O725" s="24">
        <f t="shared" ca="1" si="153"/>
        <v>566</v>
      </c>
      <c r="P725" s="24">
        <v>743</v>
      </c>
      <c r="Q725" s="11">
        <f t="shared" ca="1" si="154"/>
        <v>50</v>
      </c>
      <c r="R725" s="24">
        <v>200</v>
      </c>
      <c r="S725" s="24">
        <v>10</v>
      </c>
      <c r="T725" s="24">
        <f t="shared" ca="1" si="155"/>
        <v>1003</v>
      </c>
    </row>
    <row r="726" spans="1:20" x14ac:dyDescent="0.45">
      <c r="A726" s="11">
        <v>713</v>
      </c>
      <c r="B726" s="11">
        <f t="shared" ca="1" si="143"/>
        <v>0.17326191029181293</v>
      </c>
      <c r="C726" s="11">
        <f t="shared" ca="1" si="144"/>
        <v>1100</v>
      </c>
      <c r="D726" s="11">
        <f t="shared" ca="1" si="145"/>
        <v>0.77568162150445086</v>
      </c>
      <c r="E726" s="11">
        <f t="shared" ca="1" si="146"/>
        <v>1500</v>
      </c>
      <c r="F726" s="11">
        <f t="shared" ca="1" si="147"/>
        <v>0.6019115743294885</v>
      </c>
      <c r="G726" s="11">
        <f t="shared" ca="1" si="148"/>
        <v>1300</v>
      </c>
      <c r="H726" s="11">
        <f t="shared" ca="1" si="149"/>
        <v>1100</v>
      </c>
      <c r="I726" s="11">
        <f t="shared" ca="1" si="150"/>
        <v>0.59859041470481877</v>
      </c>
      <c r="J726" s="11">
        <f t="shared" ca="1" si="151"/>
        <v>5</v>
      </c>
      <c r="K726" s="24">
        <v>96</v>
      </c>
      <c r="L726" s="24">
        <f t="shared" ca="1" si="152"/>
        <v>50</v>
      </c>
      <c r="M726" s="24">
        <v>400</v>
      </c>
      <c r="N726" s="24">
        <v>20</v>
      </c>
      <c r="O726" s="24">
        <f t="shared" ca="1" si="153"/>
        <v>566</v>
      </c>
      <c r="P726" s="24">
        <v>744</v>
      </c>
      <c r="Q726" s="11">
        <f t="shared" ca="1" si="154"/>
        <v>50</v>
      </c>
      <c r="R726" s="24">
        <v>200</v>
      </c>
      <c r="S726" s="24">
        <v>10</v>
      </c>
      <c r="T726" s="24">
        <f t="shared" ca="1" si="155"/>
        <v>1004</v>
      </c>
    </row>
    <row r="727" spans="1:20" x14ac:dyDescent="0.45">
      <c r="A727" s="11">
        <v>714</v>
      </c>
      <c r="B727" s="11">
        <f t="shared" ca="1" si="143"/>
        <v>0.83460620844294098</v>
      </c>
      <c r="C727" s="11">
        <f t="shared" ca="1" si="144"/>
        <v>1600</v>
      </c>
      <c r="D727" s="11">
        <f t="shared" ca="1" si="145"/>
        <v>0.3994313748938576</v>
      </c>
      <c r="E727" s="11">
        <f t="shared" ca="1" si="146"/>
        <v>1200</v>
      </c>
      <c r="F727" s="11">
        <f t="shared" ca="1" si="147"/>
        <v>0.75779286969422244</v>
      </c>
      <c r="G727" s="11">
        <f t="shared" ca="1" si="148"/>
        <v>1500</v>
      </c>
      <c r="H727" s="11">
        <f t="shared" ca="1" si="149"/>
        <v>1200</v>
      </c>
      <c r="I727" s="11">
        <f t="shared" ca="1" si="150"/>
        <v>0.84585380667224619</v>
      </c>
      <c r="J727" s="11">
        <f t="shared" ca="1" si="151"/>
        <v>10</v>
      </c>
      <c r="K727" s="24">
        <v>96</v>
      </c>
      <c r="L727" s="24">
        <f t="shared" ca="1" si="152"/>
        <v>100</v>
      </c>
      <c r="M727" s="24">
        <v>400</v>
      </c>
      <c r="N727" s="24">
        <v>20</v>
      </c>
      <c r="O727" s="24">
        <f t="shared" ca="1" si="153"/>
        <v>616</v>
      </c>
      <c r="P727" s="24">
        <v>745</v>
      </c>
      <c r="Q727" s="11">
        <f t="shared" ca="1" si="154"/>
        <v>100</v>
      </c>
      <c r="R727" s="24">
        <v>200</v>
      </c>
      <c r="S727" s="24">
        <v>10</v>
      </c>
      <c r="T727" s="24">
        <f t="shared" ca="1" si="155"/>
        <v>1055</v>
      </c>
    </row>
    <row r="728" spans="1:20" x14ac:dyDescent="0.45">
      <c r="A728" s="11">
        <v>715</v>
      </c>
      <c r="B728" s="11">
        <f t="shared" ca="1" si="143"/>
        <v>0.38500233309872911</v>
      </c>
      <c r="C728" s="11">
        <f t="shared" ca="1" si="144"/>
        <v>1200</v>
      </c>
      <c r="D728" s="11">
        <f t="shared" ca="1" si="145"/>
        <v>0.57065594654141483</v>
      </c>
      <c r="E728" s="11">
        <f t="shared" ca="1" si="146"/>
        <v>1300</v>
      </c>
      <c r="F728" s="11">
        <f t="shared" ca="1" si="147"/>
        <v>0.80297379407097214</v>
      </c>
      <c r="G728" s="11">
        <f t="shared" ca="1" si="148"/>
        <v>1500</v>
      </c>
      <c r="H728" s="11">
        <f t="shared" ca="1" si="149"/>
        <v>1200</v>
      </c>
      <c r="I728" s="11">
        <f t="shared" ca="1" si="150"/>
        <v>3.5879375224733168E-2</v>
      </c>
      <c r="J728" s="11">
        <f t="shared" ca="1" si="151"/>
        <v>5</v>
      </c>
      <c r="K728" s="24">
        <v>96</v>
      </c>
      <c r="L728" s="24">
        <f t="shared" ca="1" si="152"/>
        <v>50</v>
      </c>
      <c r="M728" s="24">
        <v>400</v>
      </c>
      <c r="N728" s="24">
        <v>20</v>
      </c>
      <c r="O728" s="24">
        <f t="shared" ca="1" si="153"/>
        <v>566</v>
      </c>
      <c r="P728" s="24">
        <v>746</v>
      </c>
      <c r="Q728" s="11">
        <f t="shared" ca="1" si="154"/>
        <v>50</v>
      </c>
      <c r="R728" s="24">
        <v>200</v>
      </c>
      <c r="S728" s="24">
        <v>10</v>
      </c>
      <c r="T728" s="24">
        <f t="shared" ca="1" si="155"/>
        <v>1006</v>
      </c>
    </row>
    <row r="729" spans="1:20" x14ac:dyDescent="0.45">
      <c r="A729" s="11">
        <v>716</v>
      </c>
      <c r="B729" s="11">
        <f t="shared" ca="1" si="143"/>
        <v>0.12667615656909759</v>
      </c>
      <c r="C729" s="11">
        <f t="shared" ca="1" si="144"/>
        <v>1100</v>
      </c>
      <c r="D729" s="11">
        <f t="shared" ca="1" si="145"/>
        <v>0.75310888252279351</v>
      </c>
      <c r="E729" s="11">
        <f t="shared" ca="1" si="146"/>
        <v>1500</v>
      </c>
      <c r="F729" s="11">
        <f t="shared" ca="1" si="147"/>
        <v>0.58373757175242147</v>
      </c>
      <c r="G729" s="11">
        <f t="shared" ca="1" si="148"/>
        <v>1300</v>
      </c>
      <c r="H729" s="11">
        <f t="shared" ca="1" si="149"/>
        <v>1100</v>
      </c>
      <c r="I729" s="11">
        <f t="shared" ca="1" si="150"/>
        <v>0.10589013533214409</v>
      </c>
      <c r="J729" s="11">
        <f t="shared" ca="1" si="151"/>
        <v>5</v>
      </c>
      <c r="K729" s="24">
        <v>96</v>
      </c>
      <c r="L729" s="24">
        <f t="shared" ca="1" si="152"/>
        <v>50</v>
      </c>
      <c r="M729" s="24">
        <v>400</v>
      </c>
      <c r="N729" s="24">
        <v>20</v>
      </c>
      <c r="O729" s="24">
        <f t="shared" ca="1" si="153"/>
        <v>566</v>
      </c>
      <c r="P729" s="24">
        <v>747</v>
      </c>
      <c r="Q729" s="11">
        <f t="shared" ca="1" si="154"/>
        <v>50</v>
      </c>
      <c r="R729" s="24">
        <v>200</v>
      </c>
      <c r="S729" s="24">
        <v>10</v>
      </c>
      <c r="T729" s="24">
        <f t="shared" ca="1" si="155"/>
        <v>1007</v>
      </c>
    </row>
    <row r="730" spans="1:20" x14ac:dyDescent="0.45">
      <c r="A730" s="11">
        <v>717</v>
      </c>
      <c r="B730" s="11">
        <f t="shared" ca="1" si="143"/>
        <v>0.6122424033445899</v>
      </c>
      <c r="C730" s="11">
        <f t="shared" ca="1" si="144"/>
        <v>1400</v>
      </c>
      <c r="D730" s="11">
        <f t="shared" ca="1" si="145"/>
        <v>0.41130026063113168</v>
      </c>
      <c r="E730" s="11">
        <f t="shared" ca="1" si="146"/>
        <v>1200</v>
      </c>
      <c r="F730" s="11">
        <f t="shared" ca="1" si="147"/>
        <v>0.7326258680336839</v>
      </c>
      <c r="G730" s="11">
        <f t="shared" ca="1" si="148"/>
        <v>1500</v>
      </c>
      <c r="H730" s="11">
        <f t="shared" ca="1" si="149"/>
        <v>1200</v>
      </c>
      <c r="I730" s="11">
        <f t="shared" ca="1" si="150"/>
        <v>0.83596127691321354</v>
      </c>
      <c r="J730" s="11">
        <f t="shared" ca="1" si="151"/>
        <v>10</v>
      </c>
      <c r="K730" s="24">
        <v>96</v>
      </c>
      <c r="L730" s="24">
        <f t="shared" ca="1" si="152"/>
        <v>100</v>
      </c>
      <c r="M730" s="24">
        <v>400</v>
      </c>
      <c r="N730" s="24">
        <v>20</v>
      </c>
      <c r="O730" s="24">
        <f t="shared" ca="1" si="153"/>
        <v>616</v>
      </c>
      <c r="P730" s="24">
        <v>748</v>
      </c>
      <c r="Q730" s="11">
        <f t="shared" ca="1" si="154"/>
        <v>100</v>
      </c>
      <c r="R730" s="24">
        <v>200</v>
      </c>
      <c r="S730" s="24">
        <v>10</v>
      </c>
      <c r="T730" s="24">
        <f t="shared" ca="1" si="155"/>
        <v>1058</v>
      </c>
    </row>
    <row r="731" spans="1:20" x14ac:dyDescent="0.45">
      <c r="A731" s="11">
        <v>718</v>
      </c>
      <c r="B731" s="11">
        <f t="shared" ca="1" si="143"/>
        <v>0.38652121245302851</v>
      </c>
      <c r="C731" s="11">
        <f t="shared" ca="1" si="144"/>
        <v>1200</v>
      </c>
      <c r="D731" s="11">
        <f t="shared" ca="1" si="145"/>
        <v>0.49142895882237758</v>
      </c>
      <c r="E731" s="11">
        <f t="shared" ca="1" si="146"/>
        <v>1300</v>
      </c>
      <c r="F731" s="11">
        <f t="shared" ca="1" si="147"/>
        <v>0.70143833890292162</v>
      </c>
      <c r="G731" s="11">
        <f t="shared" ca="1" si="148"/>
        <v>1500</v>
      </c>
      <c r="H731" s="11">
        <f t="shared" ca="1" si="149"/>
        <v>1200</v>
      </c>
      <c r="I731" s="11">
        <f t="shared" ca="1" si="150"/>
        <v>0.47402266819353722</v>
      </c>
      <c r="J731" s="11">
        <f t="shared" ca="1" si="151"/>
        <v>5</v>
      </c>
      <c r="K731" s="24">
        <v>96</v>
      </c>
      <c r="L731" s="24">
        <f t="shared" ca="1" si="152"/>
        <v>50</v>
      </c>
      <c r="M731" s="24">
        <v>400</v>
      </c>
      <c r="N731" s="24">
        <v>20</v>
      </c>
      <c r="O731" s="24">
        <f t="shared" ca="1" si="153"/>
        <v>566</v>
      </c>
      <c r="P731" s="24">
        <v>749</v>
      </c>
      <c r="Q731" s="11">
        <f t="shared" ca="1" si="154"/>
        <v>50</v>
      </c>
      <c r="R731" s="24">
        <v>200</v>
      </c>
      <c r="S731" s="24">
        <v>10</v>
      </c>
      <c r="T731" s="24">
        <f t="shared" ca="1" si="155"/>
        <v>1009</v>
      </c>
    </row>
    <row r="732" spans="1:20" x14ac:dyDescent="0.45">
      <c r="A732" s="11">
        <v>719</v>
      </c>
      <c r="B732" s="11">
        <f t="shared" ca="1" si="143"/>
        <v>0.71265983213802542</v>
      </c>
      <c r="C732" s="11">
        <f t="shared" ca="1" si="144"/>
        <v>1500</v>
      </c>
      <c r="D732" s="11">
        <f t="shared" ca="1" si="145"/>
        <v>0.49309408264938848</v>
      </c>
      <c r="E732" s="11">
        <f t="shared" ca="1" si="146"/>
        <v>1300</v>
      </c>
      <c r="F732" s="11">
        <f t="shared" ca="1" si="147"/>
        <v>0.57691133874523137</v>
      </c>
      <c r="G732" s="11">
        <f t="shared" ca="1" si="148"/>
        <v>1300</v>
      </c>
      <c r="H732" s="11">
        <f t="shared" ca="1" si="149"/>
        <v>1300</v>
      </c>
      <c r="I732" s="11">
        <f t="shared" ca="1" si="150"/>
        <v>0.8710636534032653</v>
      </c>
      <c r="J732" s="11">
        <f t="shared" ca="1" si="151"/>
        <v>10</v>
      </c>
      <c r="K732" s="24">
        <v>96</v>
      </c>
      <c r="L732" s="24">
        <f t="shared" ca="1" si="152"/>
        <v>100</v>
      </c>
      <c r="M732" s="24">
        <v>400</v>
      </c>
      <c r="N732" s="24">
        <v>20</v>
      </c>
      <c r="O732" s="24">
        <f t="shared" ca="1" si="153"/>
        <v>616</v>
      </c>
      <c r="P732" s="24">
        <v>750</v>
      </c>
      <c r="Q732" s="11">
        <f t="shared" ca="1" si="154"/>
        <v>100</v>
      </c>
      <c r="R732" s="24">
        <v>200</v>
      </c>
      <c r="S732" s="24">
        <v>10</v>
      </c>
      <c r="T732" s="24">
        <f t="shared" ca="1" si="155"/>
        <v>1060</v>
      </c>
    </row>
    <row r="733" spans="1:20" x14ac:dyDescent="0.45">
      <c r="A733" s="11">
        <v>720</v>
      </c>
      <c r="B733" s="11">
        <f t="shared" ca="1" si="143"/>
        <v>0.51265619960695208</v>
      </c>
      <c r="C733" s="11">
        <f t="shared" ca="1" si="144"/>
        <v>1300</v>
      </c>
      <c r="D733" s="11">
        <f t="shared" ca="1" si="145"/>
        <v>0.33642163790610347</v>
      </c>
      <c r="E733" s="11">
        <f t="shared" ca="1" si="146"/>
        <v>1200</v>
      </c>
      <c r="F733" s="11">
        <f t="shared" ca="1" si="147"/>
        <v>0.8509443950998542</v>
      </c>
      <c r="G733" s="11">
        <f t="shared" ca="1" si="148"/>
        <v>1700</v>
      </c>
      <c r="H733" s="11">
        <f t="shared" ca="1" si="149"/>
        <v>1200</v>
      </c>
      <c r="I733" s="11">
        <f t="shared" ca="1" si="150"/>
        <v>0.83872815792392497</v>
      </c>
      <c r="J733" s="11">
        <f t="shared" ca="1" si="151"/>
        <v>10</v>
      </c>
      <c r="K733" s="24">
        <v>96</v>
      </c>
      <c r="L733" s="24">
        <f t="shared" ca="1" si="152"/>
        <v>100</v>
      </c>
      <c r="M733" s="24">
        <v>400</v>
      </c>
      <c r="N733" s="24">
        <v>20</v>
      </c>
      <c r="O733" s="24">
        <f t="shared" ca="1" si="153"/>
        <v>616</v>
      </c>
      <c r="P733" s="24">
        <v>751</v>
      </c>
      <c r="Q733" s="11">
        <f t="shared" ca="1" si="154"/>
        <v>100</v>
      </c>
      <c r="R733" s="24">
        <v>200</v>
      </c>
      <c r="S733" s="24">
        <v>10</v>
      </c>
      <c r="T733" s="24">
        <f t="shared" ca="1" si="155"/>
        <v>1061</v>
      </c>
    </row>
    <row r="734" spans="1:20" x14ac:dyDescent="0.45">
      <c r="A734" s="11">
        <v>721</v>
      </c>
      <c r="B734" s="11">
        <f t="shared" ca="1" si="143"/>
        <v>0.80438138108332091</v>
      </c>
      <c r="C734" s="11">
        <f t="shared" ca="1" si="144"/>
        <v>1500</v>
      </c>
      <c r="D734" s="11">
        <f t="shared" ca="1" si="145"/>
        <v>0.4556237741275343</v>
      </c>
      <c r="E734" s="11">
        <f t="shared" ca="1" si="146"/>
        <v>1200</v>
      </c>
      <c r="F734" s="11">
        <f t="shared" ca="1" si="147"/>
        <v>0.79806860303436511</v>
      </c>
      <c r="G734" s="11">
        <f t="shared" ca="1" si="148"/>
        <v>1500</v>
      </c>
      <c r="H734" s="11">
        <f t="shared" ca="1" si="149"/>
        <v>1200</v>
      </c>
      <c r="I734" s="11">
        <f t="shared" ca="1" si="150"/>
        <v>1.9875335106917302E-2</v>
      </c>
      <c r="J734" s="11">
        <f t="shared" ca="1" si="151"/>
        <v>5</v>
      </c>
      <c r="K734" s="24">
        <v>96</v>
      </c>
      <c r="L734" s="24">
        <f t="shared" ca="1" si="152"/>
        <v>50</v>
      </c>
      <c r="M734" s="24">
        <v>400</v>
      </c>
      <c r="N734" s="24">
        <v>20</v>
      </c>
      <c r="O734" s="24">
        <f t="shared" ca="1" si="153"/>
        <v>566</v>
      </c>
      <c r="P734" s="24">
        <v>752</v>
      </c>
      <c r="Q734" s="11">
        <f t="shared" ca="1" si="154"/>
        <v>50</v>
      </c>
      <c r="R734" s="24">
        <v>200</v>
      </c>
      <c r="S734" s="24">
        <v>10</v>
      </c>
      <c r="T734" s="24">
        <f t="shared" ca="1" si="155"/>
        <v>1012</v>
      </c>
    </row>
    <row r="735" spans="1:20" x14ac:dyDescent="0.45">
      <c r="A735" s="11">
        <v>722</v>
      </c>
      <c r="B735" s="11">
        <f t="shared" ca="1" si="143"/>
        <v>0.85380909330352683</v>
      </c>
      <c r="C735" s="11">
        <f t="shared" ca="1" si="144"/>
        <v>1700</v>
      </c>
      <c r="D735" s="11">
        <f t="shared" ca="1" si="145"/>
        <v>8.2406937154727578E-3</v>
      </c>
      <c r="E735" s="11">
        <f t="shared" ca="1" si="146"/>
        <v>1000</v>
      </c>
      <c r="F735" s="11">
        <f t="shared" ca="1" si="147"/>
        <v>0.75865034318462732</v>
      </c>
      <c r="G735" s="11">
        <f t="shared" ca="1" si="148"/>
        <v>1500</v>
      </c>
      <c r="H735" s="11">
        <f t="shared" ca="1" si="149"/>
        <v>1000</v>
      </c>
      <c r="I735" s="11">
        <f t="shared" ca="1" si="150"/>
        <v>0.95113541420373515</v>
      </c>
      <c r="J735" s="11">
        <f t="shared" ca="1" si="151"/>
        <v>15</v>
      </c>
      <c r="K735" s="24">
        <v>96</v>
      </c>
      <c r="L735" s="24">
        <f t="shared" ca="1" si="152"/>
        <v>150</v>
      </c>
      <c r="M735" s="24">
        <v>400</v>
      </c>
      <c r="N735" s="24">
        <v>20</v>
      </c>
      <c r="O735" s="24">
        <f t="shared" ca="1" si="153"/>
        <v>666</v>
      </c>
      <c r="P735" s="24">
        <v>753</v>
      </c>
      <c r="Q735" s="11">
        <f t="shared" ca="1" si="154"/>
        <v>150</v>
      </c>
      <c r="R735" s="24">
        <v>200</v>
      </c>
      <c r="S735" s="24">
        <v>10</v>
      </c>
      <c r="T735" s="24">
        <f t="shared" ca="1" si="155"/>
        <v>1113</v>
      </c>
    </row>
    <row r="736" spans="1:20" x14ac:dyDescent="0.45">
      <c r="A736" s="11">
        <v>723</v>
      </c>
      <c r="B736" s="11">
        <f t="shared" ca="1" si="143"/>
        <v>0.56523421440915966</v>
      </c>
      <c r="C736" s="11">
        <f t="shared" ca="1" si="144"/>
        <v>1300</v>
      </c>
      <c r="D736" s="11">
        <f t="shared" ca="1" si="145"/>
        <v>0.29356815383934032</v>
      </c>
      <c r="E736" s="11">
        <f t="shared" ca="1" si="146"/>
        <v>1200</v>
      </c>
      <c r="F736" s="11">
        <f t="shared" ca="1" si="147"/>
        <v>0.64939954075232675</v>
      </c>
      <c r="G736" s="11">
        <f t="shared" ca="1" si="148"/>
        <v>1400</v>
      </c>
      <c r="H736" s="11">
        <f t="shared" ca="1" si="149"/>
        <v>1200</v>
      </c>
      <c r="I736" s="11">
        <f t="shared" ca="1" si="150"/>
        <v>0.31093915137381478</v>
      </c>
      <c r="J736" s="11">
        <f t="shared" ca="1" si="151"/>
        <v>5</v>
      </c>
      <c r="K736" s="24">
        <v>96</v>
      </c>
      <c r="L736" s="24">
        <f t="shared" ca="1" si="152"/>
        <v>50</v>
      </c>
      <c r="M736" s="24">
        <v>400</v>
      </c>
      <c r="N736" s="24">
        <v>20</v>
      </c>
      <c r="O736" s="24">
        <f t="shared" ca="1" si="153"/>
        <v>566</v>
      </c>
      <c r="P736" s="24">
        <v>754</v>
      </c>
      <c r="Q736" s="11">
        <f t="shared" ca="1" si="154"/>
        <v>50</v>
      </c>
      <c r="R736" s="24">
        <v>200</v>
      </c>
      <c r="S736" s="24">
        <v>10</v>
      </c>
      <c r="T736" s="24">
        <f t="shared" ca="1" si="155"/>
        <v>1014</v>
      </c>
    </row>
    <row r="737" spans="1:20" x14ac:dyDescent="0.45">
      <c r="A737" s="11">
        <v>724</v>
      </c>
      <c r="B737" s="11">
        <f t="shared" ca="1" si="143"/>
        <v>0.63865221382514081</v>
      </c>
      <c r="C737" s="11">
        <f t="shared" ca="1" si="144"/>
        <v>1400</v>
      </c>
      <c r="D737" s="11">
        <f t="shared" ca="1" si="145"/>
        <v>0.22989511175606925</v>
      </c>
      <c r="E737" s="11">
        <f t="shared" ca="1" si="146"/>
        <v>1100</v>
      </c>
      <c r="F737" s="11">
        <f t="shared" ca="1" si="147"/>
        <v>0.40632826462388283</v>
      </c>
      <c r="G737" s="11">
        <f t="shared" ca="1" si="148"/>
        <v>1200</v>
      </c>
      <c r="H737" s="11">
        <f t="shared" ca="1" si="149"/>
        <v>1100</v>
      </c>
      <c r="I737" s="11">
        <f t="shared" ca="1" si="150"/>
        <v>0.30096774936073034</v>
      </c>
      <c r="J737" s="11">
        <f t="shared" ca="1" si="151"/>
        <v>5</v>
      </c>
      <c r="K737" s="24">
        <v>96</v>
      </c>
      <c r="L737" s="24">
        <f t="shared" ca="1" si="152"/>
        <v>50</v>
      </c>
      <c r="M737" s="24">
        <v>400</v>
      </c>
      <c r="N737" s="24">
        <v>20</v>
      </c>
      <c r="O737" s="24">
        <f t="shared" ca="1" si="153"/>
        <v>566</v>
      </c>
      <c r="P737" s="24">
        <v>755</v>
      </c>
      <c r="Q737" s="11">
        <f t="shared" ca="1" si="154"/>
        <v>50</v>
      </c>
      <c r="R737" s="24">
        <v>200</v>
      </c>
      <c r="S737" s="24">
        <v>10</v>
      </c>
      <c r="T737" s="24">
        <f t="shared" ca="1" si="155"/>
        <v>1015</v>
      </c>
    </row>
    <row r="738" spans="1:20" x14ac:dyDescent="0.45">
      <c r="A738" s="11">
        <v>725</v>
      </c>
      <c r="B738" s="11">
        <f t="shared" ca="1" si="143"/>
        <v>0.95558077887618054</v>
      </c>
      <c r="C738" s="11">
        <f t="shared" ca="1" si="144"/>
        <v>1900</v>
      </c>
      <c r="D738" s="11">
        <f t="shared" ca="1" si="145"/>
        <v>0.56612444728994871</v>
      </c>
      <c r="E738" s="11">
        <f t="shared" ca="1" si="146"/>
        <v>1300</v>
      </c>
      <c r="F738" s="11">
        <f t="shared" ca="1" si="147"/>
        <v>0.17663737148235892</v>
      </c>
      <c r="G738" s="11">
        <f t="shared" ca="1" si="148"/>
        <v>1100</v>
      </c>
      <c r="H738" s="11">
        <f t="shared" ca="1" si="149"/>
        <v>1100</v>
      </c>
      <c r="I738" s="11">
        <f t="shared" ca="1" si="150"/>
        <v>0.41425422582041804</v>
      </c>
      <c r="J738" s="11">
        <f t="shared" ca="1" si="151"/>
        <v>5</v>
      </c>
      <c r="K738" s="24">
        <v>96</v>
      </c>
      <c r="L738" s="24">
        <f t="shared" ca="1" si="152"/>
        <v>50</v>
      </c>
      <c r="M738" s="24">
        <v>400</v>
      </c>
      <c r="N738" s="24">
        <v>20</v>
      </c>
      <c r="O738" s="24">
        <f t="shared" ca="1" si="153"/>
        <v>566</v>
      </c>
      <c r="P738" s="24">
        <v>756</v>
      </c>
      <c r="Q738" s="11">
        <f t="shared" ca="1" si="154"/>
        <v>50</v>
      </c>
      <c r="R738" s="24">
        <v>200</v>
      </c>
      <c r="S738" s="24">
        <v>10</v>
      </c>
      <c r="T738" s="24">
        <f t="shared" ca="1" si="155"/>
        <v>1016</v>
      </c>
    </row>
    <row r="739" spans="1:20" x14ac:dyDescent="0.45">
      <c r="A739" s="11">
        <v>726</v>
      </c>
      <c r="B739" s="11">
        <f t="shared" ca="1" si="143"/>
        <v>8.8199750703520707E-2</v>
      </c>
      <c r="C739" s="11">
        <f t="shared" ca="1" si="144"/>
        <v>1000</v>
      </c>
      <c r="D739" s="11">
        <f t="shared" ca="1" si="145"/>
        <v>0.8786864375694643</v>
      </c>
      <c r="E739" s="11">
        <f t="shared" ca="1" si="146"/>
        <v>1700</v>
      </c>
      <c r="F739" s="11">
        <f t="shared" ca="1" si="147"/>
        <v>0.95350296913770383</v>
      </c>
      <c r="G739" s="11">
        <f t="shared" ca="1" si="148"/>
        <v>1900</v>
      </c>
      <c r="H739" s="11">
        <f t="shared" ca="1" si="149"/>
        <v>1000</v>
      </c>
      <c r="I739" s="11">
        <f t="shared" ca="1" si="150"/>
        <v>5.2282032427456104E-2</v>
      </c>
      <c r="J739" s="11">
        <f t="shared" ca="1" si="151"/>
        <v>5</v>
      </c>
      <c r="K739" s="24">
        <v>96</v>
      </c>
      <c r="L739" s="24">
        <f t="shared" ca="1" si="152"/>
        <v>50</v>
      </c>
      <c r="M739" s="24">
        <v>400</v>
      </c>
      <c r="N739" s="24">
        <v>20</v>
      </c>
      <c r="O739" s="24">
        <f t="shared" ca="1" si="153"/>
        <v>566</v>
      </c>
      <c r="P739" s="24">
        <v>757</v>
      </c>
      <c r="Q739" s="11">
        <f t="shared" ca="1" si="154"/>
        <v>50</v>
      </c>
      <c r="R739" s="24">
        <v>200</v>
      </c>
      <c r="S739" s="24">
        <v>10</v>
      </c>
      <c r="T739" s="24">
        <f t="shared" ca="1" si="155"/>
        <v>1017</v>
      </c>
    </row>
    <row r="740" spans="1:20" x14ac:dyDescent="0.45">
      <c r="A740" s="11">
        <v>727</v>
      </c>
      <c r="B740" s="11">
        <f t="shared" ca="1" si="143"/>
        <v>0.12741165692121148</v>
      </c>
      <c r="C740" s="11">
        <f t="shared" ca="1" si="144"/>
        <v>1100</v>
      </c>
      <c r="D740" s="11">
        <f t="shared" ca="1" si="145"/>
        <v>0.54932183459432116</v>
      </c>
      <c r="E740" s="11">
        <f t="shared" ca="1" si="146"/>
        <v>1300</v>
      </c>
      <c r="F740" s="11">
        <f t="shared" ca="1" si="147"/>
        <v>0.59925792049561299</v>
      </c>
      <c r="G740" s="11">
        <f t="shared" ca="1" si="148"/>
        <v>1300</v>
      </c>
      <c r="H740" s="11">
        <f t="shared" ca="1" si="149"/>
        <v>1100</v>
      </c>
      <c r="I740" s="11">
        <f t="shared" ca="1" si="150"/>
        <v>8.3707212038658496E-2</v>
      </c>
      <c r="J740" s="11">
        <f t="shared" ca="1" si="151"/>
        <v>5</v>
      </c>
      <c r="K740" s="24">
        <v>96</v>
      </c>
      <c r="L740" s="24">
        <f t="shared" ca="1" si="152"/>
        <v>50</v>
      </c>
      <c r="M740" s="24">
        <v>400</v>
      </c>
      <c r="N740" s="24">
        <v>20</v>
      </c>
      <c r="O740" s="24">
        <f t="shared" ca="1" si="153"/>
        <v>566</v>
      </c>
      <c r="P740" s="24">
        <v>758</v>
      </c>
      <c r="Q740" s="11">
        <f t="shared" ca="1" si="154"/>
        <v>50</v>
      </c>
      <c r="R740" s="24">
        <v>200</v>
      </c>
      <c r="S740" s="24">
        <v>10</v>
      </c>
      <c r="T740" s="24">
        <f t="shared" ca="1" si="155"/>
        <v>1018</v>
      </c>
    </row>
    <row r="741" spans="1:20" x14ac:dyDescent="0.45">
      <c r="A741" s="11">
        <v>728</v>
      </c>
      <c r="B741" s="11">
        <f t="shared" ca="1" si="143"/>
        <v>0.16143509944088308</v>
      </c>
      <c r="C741" s="11">
        <f t="shared" ca="1" si="144"/>
        <v>1100</v>
      </c>
      <c r="D741" s="11">
        <f t="shared" ca="1" si="145"/>
        <v>0.75662949738837126</v>
      </c>
      <c r="E741" s="11">
        <f t="shared" ca="1" si="146"/>
        <v>1500</v>
      </c>
      <c r="F741" s="11">
        <f t="shared" ca="1" si="147"/>
        <v>0.87324077244869214</v>
      </c>
      <c r="G741" s="11">
        <f t="shared" ca="1" si="148"/>
        <v>1700</v>
      </c>
      <c r="H741" s="11">
        <f t="shared" ca="1" si="149"/>
        <v>1100</v>
      </c>
      <c r="I741" s="11">
        <f t="shared" ca="1" si="150"/>
        <v>0.51547969971294993</v>
      </c>
      <c r="J741" s="11">
        <f t="shared" ca="1" si="151"/>
        <v>5</v>
      </c>
      <c r="K741" s="24">
        <v>96</v>
      </c>
      <c r="L741" s="24">
        <f t="shared" ca="1" si="152"/>
        <v>50</v>
      </c>
      <c r="M741" s="24">
        <v>400</v>
      </c>
      <c r="N741" s="24">
        <v>20</v>
      </c>
      <c r="O741" s="24">
        <f t="shared" ca="1" si="153"/>
        <v>566</v>
      </c>
      <c r="P741" s="24">
        <v>759</v>
      </c>
      <c r="Q741" s="11">
        <f t="shared" ca="1" si="154"/>
        <v>50</v>
      </c>
      <c r="R741" s="24">
        <v>200</v>
      </c>
      <c r="S741" s="24">
        <v>10</v>
      </c>
      <c r="T741" s="24">
        <f t="shared" ca="1" si="155"/>
        <v>1019</v>
      </c>
    </row>
    <row r="742" spans="1:20" x14ac:dyDescent="0.45">
      <c r="A742" s="11">
        <v>729</v>
      </c>
      <c r="B742" s="11">
        <f t="shared" ca="1" si="143"/>
        <v>0.27498721977898632</v>
      </c>
      <c r="C742" s="11">
        <f t="shared" ca="1" si="144"/>
        <v>1200</v>
      </c>
      <c r="D742" s="11">
        <f t="shared" ca="1" si="145"/>
        <v>0.18354751156581894</v>
      </c>
      <c r="E742" s="11">
        <f t="shared" ca="1" si="146"/>
        <v>1100</v>
      </c>
      <c r="F742" s="11">
        <f t="shared" ca="1" si="147"/>
        <v>0.81764754053782429</v>
      </c>
      <c r="G742" s="11">
        <f t="shared" ca="1" si="148"/>
        <v>1500</v>
      </c>
      <c r="H742" s="11">
        <f t="shared" ca="1" si="149"/>
        <v>1100</v>
      </c>
      <c r="I742" s="11">
        <f t="shared" ca="1" si="150"/>
        <v>0.75949292120718048</v>
      </c>
      <c r="J742" s="11">
        <f t="shared" ca="1" si="151"/>
        <v>10</v>
      </c>
      <c r="K742" s="24">
        <v>96</v>
      </c>
      <c r="L742" s="24">
        <f t="shared" ca="1" si="152"/>
        <v>100</v>
      </c>
      <c r="M742" s="24">
        <v>400</v>
      </c>
      <c r="N742" s="24">
        <v>20</v>
      </c>
      <c r="O742" s="24">
        <f t="shared" ca="1" si="153"/>
        <v>616</v>
      </c>
      <c r="P742" s="24">
        <v>760</v>
      </c>
      <c r="Q742" s="11">
        <f t="shared" ca="1" si="154"/>
        <v>100</v>
      </c>
      <c r="R742" s="24">
        <v>200</v>
      </c>
      <c r="S742" s="24">
        <v>10</v>
      </c>
      <c r="T742" s="24">
        <f t="shared" ca="1" si="155"/>
        <v>1070</v>
      </c>
    </row>
    <row r="743" spans="1:20" x14ac:dyDescent="0.45">
      <c r="A743" s="11">
        <v>730</v>
      </c>
      <c r="B743" s="11">
        <f t="shared" ca="1" si="143"/>
        <v>0.78391788473974422</v>
      </c>
      <c r="C743" s="11">
        <f t="shared" ca="1" si="144"/>
        <v>1500</v>
      </c>
      <c r="D743" s="11">
        <f t="shared" ca="1" si="145"/>
        <v>0.97088106147489328</v>
      </c>
      <c r="E743" s="11">
        <f t="shared" ca="1" si="146"/>
        <v>1900</v>
      </c>
      <c r="F743" s="11">
        <f t="shared" ca="1" si="147"/>
        <v>0.38391781877131792</v>
      </c>
      <c r="G743" s="11">
        <f t="shared" ca="1" si="148"/>
        <v>1200</v>
      </c>
      <c r="H743" s="11">
        <f t="shared" ca="1" si="149"/>
        <v>1200</v>
      </c>
      <c r="I743" s="11">
        <f t="shared" ca="1" si="150"/>
        <v>0.37773085086342906</v>
      </c>
      <c r="J743" s="11">
        <f t="shared" ca="1" si="151"/>
        <v>5</v>
      </c>
      <c r="K743" s="24">
        <v>96</v>
      </c>
      <c r="L743" s="24">
        <f t="shared" ca="1" si="152"/>
        <v>50</v>
      </c>
      <c r="M743" s="24">
        <v>400</v>
      </c>
      <c r="N743" s="24">
        <v>20</v>
      </c>
      <c r="O743" s="24">
        <f t="shared" ca="1" si="153"/>
        <v>566</v>
      </c>
      <c r="P743" s="24">
        <v>761</v>
      </c>
      <c r="Q743" s="11">
        <f t="shared" ca="1" si="154"/>
        <v>50</v>
      </c>
      <c r="R743" s="24">
        <v>200</v>
      </c>
      <c r="S743" s="24">
        <v>10</v>
      </c>
      <c r="T743" s="24">
        <f t="shared" ca="1" si="155"/>
        <v>1021</v>
      </c>
    </row>
    <row r="744" spans="1:20" x14ac:dyDescent="0.45">
      <c r="A744" s="11">
        <v>731</v>
      </c>
      <c r="B744" s="11">
        <f t="shared" ca="1" si="143"/>
        <v>6.7808802335521223E-2</v>
      </c>
      <c r="C744" s="11">
        <f t="shared" ca="1" si="144"/>
        <v>1000</v>
      </c>
      <c r="D744" s="11">
        <f t="shared" ca="1" si="145"/>
        <v>5.3171176496902284E-4</v>
      </c>
      <c r="E744" s="11">
        <f t="shared" ca="1" si="146"/>
        <v>1000</v>
      </c>
      <c r="F744" s="11">
        <f t="shared" ca="1" si="147"/>
        <v>0.45297175906794673</v>
      </c>
      <c r="G744" s="11">
        <f t="shared" ca="1" si="148"/>
        <v>1200</v>
      </c>
      <c r="H744" s="11">
        <f t="shared" ca="1" si="149"/>
        <v>1000</v>
      </c>
      <c r="I744" s="11">
        <f t="shared" ca="1" si="150"/>
        <v>0.12123617914631446</v>
      </c>
      <c r="J744" s="11">
        <f t="shared" ca="1" si="151"/>
        <v>5</v>
      </c>
      <c r="K744" s="24">
        <v>96</v>
      </c>
      <c r="L744" s="24">
        <f t="shared" ca="1" si="152"/>
        <v>50</v>
      </c>
      <c r="M744" s="24">
        <v>400</v>
      </c>
      <c r="N744" s="24">
        <v>20</v>
      </c>
      <c r="O744" s="24">
        <f t="shared" ca="1" si="153"/>
        <v>566</v>
      </c>
      <c r="P744" s="24">
        <v>762</v>
      </c>
      <c r="Q744" s="11">
        <f t="shared" ca="1" si="154"/>
        <v>50</v>
      </c>
      <c r="R744" s="24">
        <v>200</v>
      </c>
      <c r="S744" s="24">
        <v>10</v>
      </c>
      <c r="T744" s="24">
        <f t="shared" ca="1" si="155"/>
        <v>1022</v>
      </c>
    </row>
    <row r="745" spans="1:20" x14ac:dyDescent="0.45">
      <c r="A745" s="11">
        <v>732</v>
      </c>
      <c r="B745" s="11">
        <f t="shared" ca="1" si="143"/>
        <v>0.69819844307489343</v>
      </c>
      <c r="C745" s="11">
        <f t="shared" ca="1" si="144"/>
        <v>1400</v>
      </c>
      <c r="D745" s="11">
        <f t="shared" ca="1" si="145"/>
        <v>0.27689168443837686</v>
      </c>
      <c r="E745" s="11">
        <f t="shared" ca="1" si="146"/>
        <v>1200</v>
      </c>
      <c r="F745" s="11">
        <f t="shared" ca="1" si="147"/>
        <v>0.67978044713861252</v>
      </c>
      <c r="G745" s="11">
        <f t="shared" ca="1" si="148"/>
        <v>1400</v>
      </c>
      <c r="H745" s="11">
        <f t="shared" ca="1" si="149"/>
        <v>1200</v>
      </c>
      <c r="I745" s="11">
        <f t="shared" ca="1" si="150"/>
        <v>0.75197414030404108</v>
      </c>
      <c r="J745" s="11">
        <f t="shared" ca="1" si="151"/>
        <v>10</v>
      </c>
      <c r="K745" s="24">
        <v>96</v>
      </c>
      <c r="L745" s="24">
        <f t="shared" ca="1" si="152"/>
        <v>100</v>
      </c>
      <c r="M745" s="24">
        <v>400</v>
      </c>
      <c r="N745" s="24">
        <v>20</v>
      </c>
      <c r="O745" s="24">
        <f t="shared" ca="1" si="153"/>
        <v>616</v>
      </c>
      <c r="P745" s="24">
        <v>763</v>
      </c>
      <c r="Q745" s="11">
        <f t="shared" ca="1" si="154"/>
        <v>100</v>
      </c>
      <c r="R745" s="24">
        <v>200</v>
      </c>
      <c r="S745" s="24">
        <v>10</v>
      </c>
      <c r="T745" s="24">
        <f t="shared" ca="1" si="155"/>
        <v>1073</v>
      </c>
    </row>
    <row r="746" spans="1:20" x14ac:dyDescent="0.45">
      <c r="A746" s="11">
        <v>733</v>
      </c>
      <c r="B746" s="11">
        <f t="shared" ca="1" si="143"/>
        <v>0.57285361526859857</v>
      </c>
      <c r="C746" s="11">
        <f t="shared" ca="1" si="144"/>
        <v>1300</v>
      </c>
      <c r="D746" s="11">
        <f t="shared" ca="1" si="145"/>
        <v>0.1151597387649409</v>
      </c>
      <c r="E746" s="11">
        <f t="shared" ca="1" si="146"/>
        <v>1100</v>
      </c>
      <c r="F746" s="11">
        <f t="shared" ca="1" si="147"/>
        <v>5.9017071300818125E-2</v>
      </c>
      <c r="G746" s="11">
        <f t="shared" ca="1" si="148"/>
        <v>1000</v>
      </c>
      <c r="H746" s="11">
        <f t="shared" ca="1" si="149"/>
        <v>1000</v>
      </c>
      <c r="I746" s="11">
        <f t="shared" ca="1" si="150"/>
        <v>0.17466078823667874</v>
      </c>
      <c r="J746" s="11">
        <f t="shared" ca="1" si="151"/>
        <v>5</v>
      </c>
      <c r="K746" s="24">
        <v>96</v>
      </c>
      <c r="L746" s="24">
        <f t="shared" ca="1" si="152"/>
        <v>50</v>
      </c>
      <c r="M746" s="24">
        <v>400</v>
      </c>
      <c r="N746" s="24">
        <v>20</v>
      </c>
      <c r="O746" s="24">
        <f t="shared" ca="1" si="153"/>
        <v>566</v>
      </c>
      <c r="P746" s="24">
        <v>764</v>
      </c>
      <c r="Q746" s="11">
        <f t="shared" ca="1" si="154"/>
        <v>50</v>
      </c>
      <c r="R746" s="24">
        <v>200</v>
      </c>
      <c r="S746" s="24">
        <v>10</v>
      </c>
      <c r="T746" s="24">
        <f t="shared" ca="1" si="155"/>
        <v>1024</v>
      </c>
    </row>
    <row r="747" spans="1:20" x14ac:dyDescent="0.45">
      <c r="A747" s="11">
        <v>734</v>
      </c>
      <c r="B747" s="11">
        <f t="shared" ca="1" si="143"/>
        <v>0.39317369443825412</v>
      </c>
      <c r="C747" s="11">
        <f t="shared" ca="1" si="144"/>
        <v>1200</v>
      </c>
      <c r="D747" s="11">
        <f t="shared" ca="1" si="145"/>
        <v>0.22488974470042011</v>
      </c>
      <c r="E747" s="11">
        <f t="shared" ca="1" si="146"/>
        <v>1100</v>
      </c>
      <c r="F747" s="11">
        <f t="shared" ca="1" si="147"/>
        <v>0.29461022180930319</v>
      </c>
      <c r="G747" s="11">
        <f t="shared" ca="1" si="148"/>
        <v>1200</v>
      </c>
      <c r="H747" s="11">
        <f t="shared" ca="1" si="149"/>
        <v>1100</v>
      </c>
      <c r="I747" s="11">
        <f t="shared" ca="1" si="150"/>
        <v>0.92806720666661546</v>
      </c>
      <c r="J747" s="11">
        <f t="shared" ca="1" si="151"/>
        <v>15</v>
      </c>
      <c r="K747" s="24">
        <v>96</v>
      </c>
      <c r="L747" s="24">
        <f t="shared" ca="1" si="152"/>
        <v>150</v>
      </c>
      <c r="M747" s="24">
        <v>400</v>
      </c>
      <c r="N747" s="24">
        <v>20</v>
      </c>
      <c r="O747" s="24">
        <f t="shared" ca="1" si="153"/>
        <v>666</v>
      </c>
      <c r="P747" s="24">
        <v>765</v>
      </c>
      <c r="Q747" s="11">
        <f t="shared" ca="1" si="154"/>
        <v>150</v>
      </c>
      <c r="R747" s="24">
        <v>200</v>
      </c>
      <c r="S747" s="24">
        <v>10</v>
      </c>
      <c r="T747" s="24">
        <f t="shared" ca="1" si="155"/>
        <v>1125</v>
      </c>
    </row>
    <row r="748" spans="1:20" x14ac:dyDescent="0.45">
      <c r="A748" s="11">
        <v>735</v>
      </c>
      <c r="B748" s="11">
        <f t="shared" ca="1" si="143"/>
        <v>0.40814118212221639</v>
      </c>
      <c r="C748" s="11">
        <f t="shared" ca="1" si="144"/>
        <v>1200</v>
      </c>
      <c r="D748" s="11">
        <f t="shared" ca="1" si="145"/>
        <v>0.67239411167927099</v>
      </c>
      <c r="E748" s="11">
        <f t="shared" ca="1" si="146"/>
        <v>1400</v>
      </c>
      <c r="F748" s="11">
        <f t="shared" ca="1" si="147"/>
        <v>0.54205933165003639</v>
      </c>
      <c r="G748" s="11">
        <f t="shared" ca="1" si="148"/>
        <v>1300</v>
      </c>
      <c r="H748" s="11">
        <f t="shared" ca="1" si="149"/>
        <v>1200</v>
      </c>
      <c r="I748" s="11">
        <f t="shared" ca="1" si="150"/>
        <v>0.41321553103345232</v>
      </c>
      <c r="J748" s="11">
        <f t="shared" ca="1" si="151"/>
        <v>5</v>
      </c>
      <c r="K748" s="24">
        <v>96</v>
      </c>
      <c r="L748" s="24">
        <f t="shared" ca="1" si="152"/>
        <v>50</v>
      </c>
      <c r="M748" s="24">
        <v>400</v>
      </c>
      <c r="N748" s="24">
        <v>20</v>
      </c>
      <c r="O748" s="24">
        <f t="shared" ca="1" si="153"/>
        <v>566</v>
      </c>
      <c r="P748" s="24">
        <v>766</v>
      </c>
      <c r="Q748" s="11">
        <f t="shared" ca="1" si="154"/>
        <v>50</v>
      </c>
      <c r="R748" s="24">
        <v>200</v>
      </c>
      <c r="S748" s="24">
        <v>10</v>
      </c>
      <c r="T748" s="24">
        <f t="shared" ca="1" si="155"/>
        <v>1026</v>
      </c>
    </row>
    <row r="749" spans="1:20" x14ac:dyDescent="0.45">
      <c r="A749" s="11">
        <v>736</v>
      </c>
      <c r="B749" s="11">
        <f t="shared" ca="1" si="143"/>
        <v>0.42657284716485455</v>
      </c>
      <c r="C749" s="11">
        <f t="shared" ca="1" si="144"/>
        <v>1200</v>
      </c>
      <c r="D749" s="11">
        <f t="shared" ca="1" si="145"/>
        <v>0.99070511673815864</v>
      </c>
      <c r="E749" s="11">
        <f t="shared" ca="1" si="146"/>
        <v>1900</v>
      </c>
      <c r="F749" s="11">
        <f t="shared" ca="1" si="147"/>
        <v>0.92294078173321226</v>
      </c>
      <c r="G749" s="11">
        <f t="shared" ca="1" si="148"/>
        <v>1800</v>
      </c>
      <c r="H749" s="11">
        <f t="shared" ca="1" si="149"/>
        <v>1200</v>
      </c>
      <c r="I749" s="11">
        <f t="shared" ca="1" si="150"/>
        <v>0.89452067459522877</v>
      </c>
      <c r="J749" s="11">
        <f t="shared" ca="1" si="151"/>
        <v>10</v>
      </c>
      <c r="K749" s="24">
        <v>96</v>
      </c>
      <c r="L749" s="24">
        <f t="shared" ca="1" si="152"/>
        <v>100</v>
      </c>
      <c r="M749" s="24">
        <v>400</v>
      </c>
      <c r="N749" s="24">
        <v>20</v>
      </c>
      <c r="O749" s="24">
        <f t="shared" ca="1" si="153"/>
        <v>616</v>
      </c>
      <c r="P749" s="24">
        <v>767</v>
      </c>
      <c r="Q749" s="11">
        <f t="shared" ca="1" si="154"/>
        <v>100</v>
      </c>
      <c r="R749" s="24">
        <v>200</v>
      </c>
      <c r="S749" s="24">
        <v>10</v>
      </c>
      <c r="T749" s="24">
        <f t="shared" ca="1" si="155"/>
        <v>1077</v>
      </c>
    </row>
    <row r="750" spans="1:20" x14ac:dyDescent="0.45">
      <c r="A750" s="11">
        <v>737</v>
      </c>
      <c r="B750" s="11">
        <f t="shared" ca="1" si="143"/>
        <v>0.65194017241214941</v>
      </c>
      <c r="C750" s="11">
        <f t="shared" ca="1" si="144"/>
        <v>1400</v>
      </c>
      <c r="D750" s="11">
        <f t="shared" ca="1" si="145"/>
        <v>0.34994736831114748</v>
      </c>
      <c r="E750" s="11">
        <f t="shared" ca="1" si="146"/>
        <v>1200</v>
      </c>
      <c r="F750" s="11">
        <f t="shared" ca="1" si="147"/>
        <v>0.88205988619596543</v>
      </c>
      <c r="G750" s="11">
        <f t="shared" ca="1" si="148"/>
        <v>1700</v>
      </c>
      <c r="H750" s="11">
        <f t="shared" ca="1" si="149"/>
        <v>1200</v>
      </c>
      <c r="I750" s="11">
        <f t="shared" ca="1" si="150"/>
        <v>0.96561006917295955</v>
      </c>
      <c r="J750" s="11">
        <f t="shared" ca="1" si="151"/>
        <v>15</v>
      </c>
      <c r="K750" s="24">
        <v>96</v>
      </c>
      <c r="L750" s="24">
        <f t="shared" ca="1" si="152"/>
        <v>150</v>
      </c>
      <c r="M750" s="24">
        <v>400</v>
      </c>
      <c r="N750" s="24">
        <v>20</v>
      </c>
      <c r="O750" s="24">
        <f t="shared" ca="1" si="153"/>
        <v>666</v>
      </c>
      <c r="P750" s="24">
        <v>768</v>
      </c>
      <c r="Q750" s="11">
        <f t="shared" ca="1" si="154"/>
        <v>150</v>
      </c>
      <c r="R750" s="24">
        <v>200</v>
      </c>
      <c r="S750" s="24">
        <v>10</v>
      </c>
      <c r="T750" s="24">
        <f t="shared" ca="1" si="155"/>
        <v>1128</v>
      </c>
    </row>
    <row r="751" spans="1:20" x14ac:dyDescent="0.45">
      <c r="A751" s="11">
        <v>738</v>
      </c>
      <c r="B751" s="11">
        <f t="shared" ca="1" si="143"/>
        <v>0.37692600742108873</v>
      </c>
      <c r="C751" s="11">
        <f t="shared" ca="1" si="144"/>
        <v>1200</v>
      </c>
      <c r="D751" s="11">
        <f t="shared" ca="1" si="145"/>
        <v>0.28797029285506337</v>
      </c>
      <c r="E751" s="11">
        <f t="shared" ca="1" si="146"/>
        <v>1200</v>
      </c>
      <c r="F751" s="11">
        <f t="shared" ca="1" si="147"/>
        <v>0.91872321995105588</v>
      </c>
      <c r="G751" s="11">
        <f t="shared" ca="1" si="148"/>
        <v>1800</v>
      </c>
      <c r="H751" s="11">
        <f t="shared" ca="1" si="149"/>
        <v>1200</v>
      </c>
      <c r="I751" s="11">
        <f t="shared" ca="1" si="150"/>
        <v>0.14615588200981333</v>
      </c>
      <c r="J751" s="11">
        <f t="shared" ca="1" si="151"/>
        <v>5</v>
      </c>
      <c r="K751" s="24">
        <v>96</v>
      </c>
      <c r="L751" s="24">
        <f t="shared" ca="1" si="152"/>
        <v>50</v>
      </c>
      <c r="M751" s="24">
        <v>400</v>
      </c>
      <c r="N751" s="24">
        <v>20</v>
      </c>
      <c r="O751" s="24">
        <f t="shared" ca="1" si="153"/>
        <v>566</v>
      </c>
      <c r="P751" s="24">
        <v>769</v>
      </c>
      <c r="Q751" s="11">
        <f t="shared" ca="1" si="154"/>
        <v>50</v>
      </c>
      <c r="R751" s="24">
        <v>200</v>
      </c>
      <c r="S751" s="24">
        <v>10</v>
      </c>
      <c r="T751" s="24">
        <f t="shared" ca="1" si="155"/>
        <v>1029</v>
      </c>
    </row>
    <row r="752" spans="1:20" x14ac:dyDescent="0.45">
      <c r="A752" s="11">
        <v>739</v>
      </c>
      <c r="B752" s="11">
        <f t="shared" ca="1" si="143"/>
        <v>0.50774622080432741</v>
      </c>
      <c r="C752" s="11">
        <f t="shared" ca="1" si="144"/>
        <v>1300</v>
      </c>
      <c r="D752" s="11">
        <f t="shared" ca="1" si="145"/>
        <v>0.104287412609403</v>
      </c>
      <c r="E752" s="11">
        <f t="shared" ca="1" si="146"/>
        <v>1100</v>
      </c>
      <c r="F752" s="11">
        <f t="shared" ca="1" si="147"/>
        <v>0.81508688092892401</v>
      </c>
      <c r="G752" s="11">
        <f t="shared" ca="1" si="148"/>
        <v>1500</v>
      </c>
      <c r="H752" s="11">
        <f t="shared" ca="1" si="149"/>
        <v>1100</v>
      </c>
      <c r="I752" s="11">
        <f t="shared" ca="1" si="150"/>
        <v>0.75530415470700385</v>
      </c>
      <c r="J752" s="11">
        <f t="shared" ca="1" si="151"/>
        <v>10</v>
      </c>
      <c r="K752" s="24">
        <v>96</v>
      </c>
      <c r="L752" s="24">
        <f t="shared" ca="1" si="152"/>
        <v>100</v>
      </c>
      <c r="M752" s="24">
        <v>400</v>
      </c>
      <c r="N752" s="24">
        <v>20</v>
      </c>
      <c r="O752" s="24">
        <f t="shared" ca="1" si="153"/>
        <v>616</v>
      </c>
      <c r="P752" s="24">
        <v>770</v>
      </c>
      <c r="Q752" s="11">
        <f t="shared" ca="1" si="154"/>
        <v>100</v>
      </c>
      <c r="R752" s="24">
        <v>200</v>
      </c>
      <c r="S752" s="24">
        <v>10</v>
      </c>
      <c r="T752" s="24">
        <f t="shared" ca="1" si="155"/>
        <v>1080</v>
      </c>
    </row>
    <row r="753" spans="1:20" x14ac:dyDescent="0.45">
      <c r="A753" s="11">
        <v>740</v>
      </c>
      <c r="B753" s="11">
        <f t="shared" ca="1" si="143"/>
        <v>0.75992442384779468</v>
      </c>
      <c r="C753" s="11">
        <f t="shared" ca="1" si="144"/>
        <v>1500</v>
      </c>
      <c r="D753" s="11">
        <f t="shared" ca="1" si="145"/>
        <v>0.53220005120607805</v>
      </c>
      <c r="E753" s="11">
        <f t="shared" ca="1" si="146"/>
        <v>1300</v>
      </c>
      <c r="F753" s="11">
        <f t="shared" ca="1" si="147"/>
        <v>5.9588388395762082E-2</v>
      </c>
      <c r="G753" s="11">
        <f t="shared" ca="1" si="148"/>
        <v>1000</v>
      </c>
      <c r="H753" s="11">
        <f t="shared" ca="1" si="149"/>
        <v>1000</v>
      </c>
      <c r="I753" s="11">
        <f t="shared" ca="1" si="150"/>
        <v>0.63194960471043549</v>
      </c>
      <c r="J753" s="11">
        <f t="shared" ca="1" si="151"/>
        <v>10</v>
      </c>
      <c r="K753" s="24">
        <v>96</v>
      </c>
      <c r="L753" s="24">
        <f t="shared" ca="1" si="152"/>
        <v>100</v>
      </c>
      <c r="M753" s="24">
        <v>400</v>
      </c>
      <c r="N753" s="24">
        <v>20</v>
      </c>
      <c r="O753" s="24">
        <f t="shared" ca="1" si="153"/>
        <v>616</v>
      </c>
      <c r="P753" s="24">
        <v>771</v>
      </c>
      <c r="Q753" s="11">
        <f t="shared" ca="1" si="154"/>
        <v>100</v>
      </c>
      <c r="R753" s="24">
        <v>200</v>
      </c>
      <c r="S753" s="24">
        <v>10</v>
      </c>
      <c r="T753" s="24">
        <f t="shared" ca="1" si="155"/>
        <v>1081</v>
      </c>
    </row>
    <row r="754" spans="1:20" x14ac:dyDescent="0.45">
      <c r="A754" s="11">
        <v>741</v>
      </c>
      <c r="B754" s="11">
        <f t="shared" ca="1" si="143"/>
        <v>0.18277716759796747</v>
      </c>
      <c r="C754" s="11">
        <f t="shared" ca="1" si="144"/>
        <v>1100</v>
      </c>
      <c r="D754" s="11">
        <f t="shared" ca="1" si="145"/>
        <v>0.99742567895856959</v>
      </c>
      <c r="E754" s="11">
        <f t="shared" ca="1" si="146"/>
        <v>1900</v>
      </c>
      <c r="F754" s="11">
        <f t="shared" ca="1" si="147"/>
        <v>0.22590071723733385</v>
      </c>
      <c r="G754" s="11">
        <f t="shared" ca="1" si="148"/>
        <v>1100</v>
      </c>
      <c r="H754" s="11">
        <f t="shared" ca="1" si="149"/>
        <v>1100</v>
      </c>
      <c r="I754" s="11">
        <f t="shared" ca="1" si="150"/>
        <v>0.85309184677972583</v>
      </c>
      <c r="J754" s="11">
        <f t="shared" ca="1" si="151"/>
        <v>10</v>
      </c>
      <c r="K754" s="24">
        <v>96</v>
      </c>
      <c r="L754" s="24">
        <f t="shared" ca="1" si="152"/>
        <v>100</v>
      </c>
      <c r="M754" s="24">
        <v>400</v>
      </c>
      <c r="N754" s="24">
        <v>20</v>
      </c>
      <c r="O754" s="24">
        <f t="shared" ca="1" si="153"/>
        <v>616</v>
      </c>
      <c r="P754" s="24">
        <v>772</v>
      </c>
      <c r="Q754" s="11">
        <f t="shared" ca="1" si="154"/>
        <v>100</v>
      </c>
      <c r="R754" s="24">
        <v>200</v>
      </c>
      <c r="S754" s="24">
        <v>10</v>
      </c>
      <c r="T754" s="24">
        <f t="shared" ca="1" si="155"/>
        <v>1082</v>
      </c>
    </row>
    <row r="755" spans="1:20" x14ac:dyDescent="0.45">
      <c r="A755" s="11">
        <v>742</v>
      </c>
      <c r="B755" s="11">
        <f t="shared" ca="1" si="143"/>
        <v>0.9687708680710545</v>
      </c>
      <c r="C755" s="11">
        <f t="shared" ca="1" si="144"/>
        <v>1900</v>
      </c>
      <c r="D755" s="11">
        <f t="shared" ca="1" si="145"/>
        <v>0.2256860835625607</v>
      </c>
      <c r="E755" s="11">
        <f t="shared" ca="1" si="146"/>
        <v>1100</v>
      </c>
      <c r="F755" s="11">
        <f t="shared" ca="1" si="147"/>
        <v>0.89969225974248979</v>
      </c>
      <c r="G755" s="11">
        <f t="shared" ca="1" si="148"/>
        <v>1700</v>
      </c>
      <c r="H755" s="11">
        <f t="shared" ca="1" si="149"/>
        <v>1100</v>
      </c>
      <c r="I755" s="11">
        <f t="shared" ca="1" si="150"/>
        <v>7.0286487335435077E-2</v>
      </c>
      <c r="J755" s="11">
        <f t="shared" ca="1" si="151"/>
        <v>5</v>
      </c>
      <c r="K755" s="24">
        <v>96</v>
      </c>
      <c r="L755" s="24">
        <f t="shared" ca="1" si="152"/>
        <v>50</v>
      </c>
      <c r="M755" s="24">
        <v>400</v>
      </c>
      <c r="N755" s="24">
        <v>20</v>
      </c>
      <c r="O755" s="24">
        <f t="shared" ca="1" si="153"/>
        <v>566</v>
      </c>
      <c r="P755" s="24">
        <v>773</v>
      </c>
      <c r="Q755" s="11">
        <f t="shared" ca="1" si="154"/>
        <v>50</v>
      </c>
      <c r="R755" s="24">
        <v>200</v>
      </c>
      <c r="S755" s="24">
        <v>10</v>
      </c>
      <c r="T755" s="24">
        <f t="shared" ca="1" si="155"/>
        <v>1033</v>
      </c>
    </row>
    <row r="756" spans="1:20" x14ac:dyDescent="0.45">
      <c r="A756" s="11">
        <v>743</v>
      </c>
      <c r="B756" s="11">
        <f t="shared" ca="1" si="143"/>
        <v>2.0474772464019408E-2</v>
      </c>
      <c r="C756" s="11">
        <f t="shared" ca="1" si="144"/>
        <v>1000</v>
      </c>
      <c r="D756" s="11">
        <f t="shared" ca="1" si="145"/>
        <v>0.65376487170820707</v>
      </c>
      <c r="E756" s="11">
        <f t="shared" ca="1" si="146"/>
        <v>1400</v>
      </c>
      <c r="F756" s="11">
        <f t="shared" ca="1" si="147"/>
        <v>0.9748140674197</v>
      </c>
      <c r="G756" s="11">
        <f t="shared" ca="1" si="148"/>
        <v>1900</v>
      </c>
      <c r="H756" s="11">
        <f t="shared" ca="1" si="149"/>
        <v>1000</v>
      </c>
      <c r="I756" s="11">
        <f t="shared" ca="1" si="150"/>
        <v>0.19671717775748765</v>
      </c>
      <c r="J756" s="11">
        <f t="shared" ca="1" si="151"/>
        <v>5</v>
      </c>
      <c r="K756" s="24">
        <v>96</v>
      </c>
      <c r="L756" s="24">
        <f t="shared" ca="1" si="152"/>
        <v>50</v>
      </c>
      <c r="M756" s="24">
        <v>400</v>
      </c>
      <c r="N756" s="24">
        <v>20</v>
      </c>
      <c r="O756" s="24">
        <f t="shared" ca="1" si="153"/>
        <v>566</v>
      </c>
      <c r="P756" s="24">
        <v>774</v>
      </c>
      <c r="Q756" s="11">
        <f t="shared" ca="1" si="154"/>
        <v>50</v>
      </c>
      <c r="R756" s="24">
        <v>200</v>
      </c>
      <c r="S756" s="24">
        <v>10</v>
      </c>
      <c r="T756" s="24">
        <f t="shared" ca="1" si="155"/>
        <v>1034</v>
      </c>
    </row>
    <row r="757" spans="1:20" x14ac:dyDescent="0.45">
      <c r="A757" s="11">
        <v>744</v>
      </c>
      <c r="B757" s="11">
        <f t="shared" ca="1" si="143"/>
        <v>0.50738993670983268</v>
      </c>
      <c r="C757" s="11">
        <f t="shared" ca="1" si="144"/>
        <v>1300</v>
      </c>
      <c r="D757" s="11">
        <f t="shared" ca="1" si="145"/>
        <v>0.84628312317564458</v>
      </c>
      <c r="E757" s="11">
        <f t="shared" ca="1" si="146"/>
        <v>1700</v>
      </c>
      <c r="F757" s="11">
        <f t="shared" ca="1" si="147"/>
        <v>0.40632120050234011</v>
      </c>
      <c r="G757" s="11">
        <f t="shared" ca="1" si="148"/>
        <v>1200</v>
      </c>
      <c r="H757" s="11">
        <f t="shared" ca="1" si="149"/>
        <v>1200</v>
      </c>
      <c r="I757" s="11">
        <f t="shared" ca="1" si="150"/>
        <v>0.43521369416154199</v>
      </c>
      <c r="J757" s="11">
        <f t="shared" ca="1" si="151"/>
        <v>5</v>
      </c>
      <c r="K757" s="24">
        <v>96</v>
      </c>
      <c r="L757" s="24">
        <f t="shared" ca="1" si="152"/>
        <v>50</v>
      </c>
      <c r="M757" s="24">
        <v>400</v>
      </c>
      <c r="N757" s="24">
        <v>20</v>
      </c>
      <c r="O757" s="24">
        <f t="shared" ca="1" si="153"/>
        <v>566</v>
      </c>
      <c r="P757" s="24">
        <v>775</v>
      </c>
      <c r="Q757" s="11">
        <f t="shared" ca="1" si="154"/>
        <v>50</v>
      </c>
      <c r="R757" s="24">
        <v>200</v>
      </c>
      <c r="S757" s="24">
        <v>10</v>
      </c>
      <c r="T757" s="24">
        <f t="shared" ca="1" si="155"/>
        <v>1035</v>
      </c>
    </row>
    <row r="758" spans="1:20" x14ac:dyDescent="0.45">
      <c r="A758" s="11">
        <v>745</v>
      </c>
      <c r="B758" s="11">
        <f t="shared" ca="1" si="143"/>
        <v>0.31743412542011928</v>
      </c>
      <c r="C758" s="11">
        <f t="shared" ca="1" si="144"/>
        <v>1200</v>
      </c>
      <c r="D758" s="11">
        <f t="shared" ca="1" si="145"/>
        <v>0.43915499319564588</v>
      </c>
      <c r="E758" s="11">
        <f t="shared" ca="1" si="146"/>
        <v>1200</v>
      </c>
      <c r="F758" s="11">
        <f t="shared" ca="1" si="147"/>
        <v>0.28193710718034304</v>
      </c>
      <c r="G758" s="11">
        <f t="shared" ca="1" si="148"/>
        <v>1200</v>
      </c>
      <c r="H758" s="11">
        <f t="shared" ca="1" si="149"/>
        <v>1200</v>
      </c>
      <c r="I758" s="11">
        <f t="shared" ca="1" si="150"/>
        <v>0.96887133796692215</v>
      </c>
      <c r="J758" s="11">
        <f t="shared" ca="1" si="151"/>
        <v>15</v>
      </c>
      <c r="K758" s="24">
        <v>96</v>
      </c>
      <c r="L758" s="24">
        <f t="shared" ca="1" si="152"/>
        <v>150</v>
      </c>
      <c r="M758" s="24">
        <v>400</v>
      </c>
      <c r="N758" s="24">
        <v>20</v>
      </c>
      <c r="O758" s="24">
        <f t="shared" ca="1" si="153"/>
        <v>666</v>
      </c>
      <c r="P758" s="24">
        <v>776</v>
      </c>
      <c r="Q758" s="11">
        <f t="shared" ca="1" si="154"/>
        <v>150</v>
      </c>
      <c r="R758" s="24">
        <v>200</v>
      </c>
      <c r="S758" s="24">
        <v>10</v>
      </c>
      <c r="T758" s="24">
        <f t="shared" ca="1" si="155"/>
        <v>1136</v>
      </c>
    </row>
    <row r="759" spans="1:20" x14ac:dyDescent="0.45">
      <c r="A759" s="11">
        <v>746</v>
      </c>
      <c r="B759" s="11">
        <f t="shared" ca="1" si="143"/>
        <v>0.43940670137739612</v>
      </c>
      <c r="C759" s="11">
        <f t="shared" ca="1" si="144"/>
        <v>1200</v>
      </c>
      <c r="D759" s="11">
        <f t="shared" ca="1" si="145"/>
        <v>0.87074667388377125</v>
      </c>
      <c r="E759" s="11">
        <f t="shared" ca="1" si="146"/>
        <v>1700</v>
      </c>
      <c r="F759" s="11">
        <f t="shared" ca="1" si="147"/>
        <v>0.81648798013070534</v>
      </c>
      <c r="G759" s="11">
        <f t="shared" ca="1" si="148"/>
        <v>1500</v>
      </c>
      <c r="H759" s="11">
        <f t="shared" ca="1" si="149"/>
        <v>1200</v>
      </c>
      <c r="I759" s="11">
        <f t="shared" ca="1" si="150"/>
        <v>6.2183873281577262E-2</v>
      </c>
      <c r="J759" s="11">
        <f t="shared" ca="1" si="151"/>
        <v>5</v>
      </c>
      <c r="K759" s="24">
        <v>96</v>
      </c>
      <c r="L759" s="24">
        <f t="shared" ca="1" si="152"/>
        <v>50</v>
      </c>
      <c r="M759" s="24">
        <v>400</v>
      </c>
      <c r="N759" s="24">
        <v>20</v>
      </c>
      <c r="O759" s="24">
        <f t="shared" ca="1" si="153"/>
        <v>566</v>
      </c>
      <c r="P759" s="24">
        <v>777</v>
      </c>
      <c r="Q759" s="11">
        <f t="shared" ca="1" si="154"/>
        <v>50</v>
      </c>
      <c r="R759" s="24">
        <v>200</v>
      </c>
      <c r="S759" s="24">
        <v>10</v>
      </c>
      <c r="T759" s="24">
        <f t="shared" ca="1" si="155"/>
        <v>1037</v>
      </c>
    </row>
    <row r="760" spans="1:20" x14ac:dyDescent="0.45">
      <c r="A760" s="11">
        <v>747</v>
      </c>
      <c r="B760" s="11">
        <f t="shared" ca="1" si="143"/>
        <v>0.98368172595769343</v>
      </c>
      <c r="C760" s="11">
        <f t="shared" ca="1" si="144"/>
        <v>1900</v>
      </c>
      <c r="D760" s="11">
        <f t="shared" ca="1" si="145"/>
        <v>0.35786555904496331</v>
      </c>
      <c r="E760" s="11">
        <f t="shared" ca="1" si="146"/>
        <v>1200</v>
      </c>
      <c r="F760" s="11">
        <f t="shared" ca="1" si="147"/>
        <v>0.78444296977538441</v>
      </c>
      <c r="G760" s="11">
        <f t="shared" ca="1" si="148"/>
        <v>1500</v>
      </c>
      <c r="H760" s="11">
        <f t="shared" ca="1" si="149"/>
        <v>1200</v>
      </c>
      <c r="I760" s="11">
        <f t="shared" ca="1" si="150"/>
        <v>9.5115053264983151E-2</v>
      </c>
      <c r="J760" s="11">
        <f t="shared" ca="1" si="151"/>
        <v>5</v>
      </c>
      <c r="K760" s="24">
        <v>96</v>
      </c>
      <c r="L760" s="24">
        <f t="shared" ca="1" si="152"/>
        <v>50</v>
      </c>
      <c r="M760" s="24">
        <v>400</v>
      </c>
      <c r="N760" s="24">
        <v>20</v>
      </c>
      <c r="O760" s="24">
        <f t="shared" ca="1" si="153"/>
        <v>566</v>
      </c>
      <c r="P760" s="24">
        <v>778</v>
      </c>
      <c r="Q760" s="11">
        <f t="shared" ca="1" si="154"/>
        <v>50</v>
      </c>
      <c r="R760" s="24">
        <v>200</v>
      </c>
      <c r="S760" s="24">
        <v>10</v>
      </c>
      <c r="T760" s="24">
        <f t="shared" ca="1" si="155"/>
        <v>1038</v>
      </c>
    </row>
    <row r="761" spans="1:20" x14ac:dyDescent="0.45">
      <c r="A761" s="11">
        <v>748</v>
      </c>
      <c r="B761" s="11">
        <f t="shared" ca="1" si="143"/>
        <v>0.1775756552918053</v>
      </c>
      <c r="C761" s="11">
        <f t="shared" ca="1" si="144"/>
        <v>1100</v>
      </c>
      <c r="D761" s="11">
        <f t="shared" ca="1" si="145"/>
        <v>0.30752887766973225</v>
      </c>
      <c r="E761" s="11">
        <f t="shared" ca="1" si="146"/>
        <v>1200</v>
      </c>
      <c r="F761" s="11">
        <f t="shared" ca="1" si="147"/>
        <v>0.90523019670577354</v>
      </c>
      <c r="G761" s="11">
        <f t="shared" ca="1" si="148"/>
        <v>1800</v>
      </c>
      <c r="H761" s="11">
        <f t="shared" ca="1" si="149"/>
        <v>1100</v>
      </c>
      <c r="I761" s="11">
        <f t="shared" ca="1" si="150"/>
        <v>0.95983489533535626</v>
      </c>
      <c r="J761" s="11">
        <f t="shared" ca="1" si="151"/>
        <v>15</v>
      </c>
      <c r="K761" s="24">
        <v>96</v>
      </c>
      <c r="L761" s="24">
        <f t="shared" ca="1" si="152"/>
        <v>150</v>
      </c>
      <c r="M761" s="24">
        <v>400</v>
      </c>
      <c r="N761" s="24">
        <v>20</v>
      </c>
      <c r="O761" s="24">
        <f t="shared" ca="1" si="153"/>
        <v>666</v>
      </c>
      <c r="P761" s="24">
        <v>779</v>
      </c>
      <c r="Q761" s="11">
        <f t="shared" ca="1" si="154"/>
        <v>150</v>
      </c>
      <c r="R761" s="24">
        <v>200</v>
      </c>
      <c r="S761" s="24">
        <v>10</v>
      </c>
      <c r="T761" s="24">
        <f t="shared" ca="1" si="155"/>
        <v>1139</v>
      </c>
    </row>
    <row r="762" spans="1:20" x14ac:dyDescent="0.45">
      <c r="A762" s="11">
        <v>749</v>
      </c>
      <c r="B762" s="11">
        <f t="shared" ca="1" si="143"/>
        <v>0.32506430618850146</v>
      </c>
      <c r="C762" s="11">
        <f t="shared" ca="1" si="144"/>
        <v>1200</v>
      </c>
      <c r="D762" s="11">
        <f t="shared" ca="1" si="145"/>
        <v>0.51903490115375095</v>
      </c>
      <c r="E762" s="11">
        <f t="shared" ca="1" si="146"/>
        <v>1300</v>
      </c>
      <c r="F762" s="11">
        <f t="shared" ca="1" si="147"/>
        <v>0.21433710859730104</v>
      </c>
      <c r="G762" s="11">
        <f t="shared" ca="1" si="148"/>
        <v>1100</v>
      </c>
      <c r="H762" s="11">
        <f t="shared" ca="1" si="149"/>
        <v>1100</v>
      </c>
      <c r="I762" s="11">
        <f t="shared" ca="1" si="150"/>
        <v>0.83876288529110898</v>
      </c>
      <c r="J762" s="11">
        <f t="shared" ca="1" si="151"/>
        <v>10</v>
      </c>
      <c r="K762" s="24">
        <v>96</v>
      </c>
      <c r="L762" s="24">
        <f t="shared" ca="1" si="152"/>
        <v>100</v>
      </c>
      <c r="M762" s="24">
        <v>400</v>
      </c>
      <c r="N762" s="24">
        <v>20</v>
      </c>
      <c r="O762" s="24">
        <f t="shared" ca="1" si="153"/>
        <v>616</v>
      </c>
      <c r="P762" s="24">
        <v>780</v>
      </c>
      <c r="Q762" s="11">
        <f t="shared" ca="1" si="154"/>
        <v>100</v>
      </c>
      <c r="R762" s="24">
        <v>200</v>
      </c>
      <c r="S762" s="24">
        <v>10</v>
      </c>
      <c r="T762" s="24">
        <f t="shared" ca="1" si="155"/>
        <v>1090</v>
      </c>
    </row>
    <row r="763" spans="1:20" x14ac:dyDescent="0.45">
      <c r="A763" s="11">
        <v>750</v>
      </c>
      <c r="B763" s="11">
        <f t="shared" ca="1" si="143"/>
        <v>0.36735562296215918</v>
      </c>
      <c r="C763" s="11">
        <f t="shared" ca="1" si="144"/>
        <v>1200</v>
      </c>
      <c r="D763" s="11">
        <f t="shared" ca="1" si="145"/>
        <v>0.97565608133279058</v>
      </c>
      <c r="E763" s="11">
        <f t="shared" ca="1" si="146"/>
        <v>1900</v>
      </c>
      <c r="F763" s="11">
        <f t="shared" ca="1" si="147"/>
        <v>3.0053026140449135E-2</v>
      </c>
      <c r="G763" s="11">
        <f t="shared" ca="1" si="148"/>
        <v>1000</v>
      </c>
      <c r="H763" s="11">
        <f t="shared" ca="1" si="149"/>
        <v>1000</v>
      </c>
      <c r="I763" s="11">
        <f t="shared" ca="1" si="150"/>
        <v>0.28987439199864173</v>
      </c>
      <c r="J763" s="11">
        <f t="shared" ca="1" si="151"/>
        <v>5</v>
      </c>
      <c r="K763" s="24">
        <v>96</v>
      </c>
      <c r="L763" s="24">
        <f t="shared" ca="1" si="152"/>
        <v>50</v>
      </c>
      <c r="M763" s="24">
        <v>400</v>
      </c>
      <c r="N763" s="24">
        <v>20</v>
      </c>
      <c r="O763" s="24">
        <f t="shared" ca="1" si="153"/>
        <v>566</v>
      </c>
      <c r="P763" s="24">
        <v>781</v>
      </c>
      <c r="Q763" s="11">
        <f t="shared" ca="1" si="154"/>
        <v>50</v>
      </c>
      <c r="R763" s="24">
        <v>200</v>
      </c>
      <c r="S763" s="24">
        <v>10</v>
      </c>
      <c r="T763" s="24">
        <f t="shared" ca="1" si="155"/>
        <v>1041</v>
      </c>
    </row>
    <row r="764" spans="1:20" x14ac:dyDescent="0.45">
      <c r="A764" s="11">
        <v>751</v>
      </c>
      <c r="B764" s="11">
        <f t="shared" ca="1" si="143"/>
        <v>0.16549548515730017</v>
      </c>
      <c r="C764" s="11">
        <f t="shared" ca="1" si="144"/>
        <v>1100</v>
      </c>
      <c r="D764" s="11">
        <f t="shared" ca="1" si="145"/>
        <v>0.19903816576107503</v>
      </c>
      <c r="E764" s="11">
        <f t="shared" ca="1" si="146"/>
        <v>1100</v>
      </c>
      <c r="F764" s="11">
        <f t="shared" ca="1" si="147"/>
        <v>0.24566019990422261</v>
      </c>
      <c r="G764" s="11">
        <f t="shared" ca="1" si="148"/>
        <v>1200</v>
      </c>
      <c r="H764" s="11">
        <f t="shared" ca="1" si="149"/>
        <v>1100</v>
      </c>
      <c r="I764" s="11">
        <f t="shared" ca="1" si="150"/>
        <v>0.72226535351406673</v>
      </c>
      <c r="J764" s="11">
        <f t="shared" ca="1" si="151"/>
        <v>10</v>
      </c>
      <c r="K764" s="24">
        <v>96</v>
      </c>
      <c r="L764" s="24">
        <f t="shared" ca="1" si="152"/>
        <v>100</v>
      </c>
      <c r="M764" s="24">
        <v>400</v>
      </c>
      <c r="N764" s="24">
        <v>20</v>
      </c>
      <c r="O764" s="24">
        <f t="shared" ca="1" si="153"/>
        <v>616</v>
      </c>
      <c r="P764" s="24">
        <v>782</v>
      </c>
      <c r="Q764" s="11">
        <f t="shared" ca="1" si="154"/>
        <v>100</v>
      </c>
      <c r="R764" s="24">
        <v>200</v>
      </c>
      <c r="S764" s="24">
        <v>10</v>
      </c>
      <c r="T764" s="24">
        <f t="shared" ca="1" si="155"/>
        <v>1092</v>
      </c>
    </row>
    <row r="765" spans="1:20" x14ac:dyDescent="0.45">
      <c r="A765" s="11">
        <v>752</v>
      </c>
      <c r="B765" s="11">
        <f t="shared" ca="1" si="143"/>
        <v>0.98349826473854718</v>
      </c>
      <c r="C765" s="11">
        <f t="shared" ca="1" si="144"/>
        <v>1900</v>
      </c>
      <c r="D765" s="11">
        <f t="shared" ca="1" si="145"/>
        <v>0.25458122831860708</v>
      </c>
      <c r="E765" s="11">
        <f t="shared" ca="1" si="146"/>
        <v>1200</v>
      </c>
      <c r="F765" s="11">
        <f t="shared" ca="1" si="147"/>
        <v>0.20863340254634233</v>
      </c>
      <c r="G765" s="11">
        <f t="shared" ca="1" si="148"/>
        <v>1100</v>
      </c>
      <c r="H765" s="11">
        <f t="shared" ca="1" si="149"/>
        <v>1100</v>
      </c>
      <c r="I765" s="11">
        <f t="shared" ca="1" si="150"/>
        <v>0.15518505400368965</v>
      </c>
      <c r="J765" s="11">
        <f t="shared" ca="1" si="151"/>
        <v>5</v>
      </c>
      <c r="K765" s="24">
        <v>96</v>
      </c>
      <c r="L765" s="24">
        <f t="shared" ca="1" si="152"/>
        <v>50</v>
      </c>
      <c r="M765" s="24">
        <v>400</v>
      </c>
      <c r="N765" s="24">
        <v>20</v>
      </c>
      <c r="O765" s="24">
        <f t="shared" ca="1" si="153"/>
        <v>566</v>
      </c>
      <c r="P765" s="24">
        <v>783</v>
      </c>
      <c r="Q765" s="11">
        <f t="shared" ca="1" si="154"/>
        <v>50</v>
      </c>
      <c r="R765" s="24">
        <v>200</v>
      </c>
      <c r="S765" s="24">
        <v>10</v>
      </c>
      <c r="T765" s="24">
        <f t="shared" ca="1" si="155"/>
        <v>1043</v>
      </c>
    </row>
    <row r="766" spans="1:20" x14ac:dyDescent="0.45">
      <c r="A766" s="11">
        <v>753</v>
      </c>
      <c r="B766" s="11">
        <f t="shared" ca="1" si="143"/>
        <v>0.35602512640172856</v>
      </c>
      <c r="C766" s="11">
        <f t="shared" ca="1" si="144"/>
        <v>1200</v>
      </c>
      <c r="D766" s="11">
        <f t="shared" ca="1" si="145"/>
        <v>0.61273622773382708</v>
      </c>
      <c r="E766" s="11">
        <f t="shared" ca="1" si="146"/>
        <v>1400</v>
      </c>
      <c r="F766" s="11">
        <f t="shared" ca="1" si="147"/>
        <v>0.54364321164246043</v>
      </c>
      <c r="G766" s="11">
        <f t="shared" ca="1" si="148"/>
        <v>1300</v>
      </c>
      <c r="H766" s="11">
        <f t="shared" ca="1" si="149"/>
        <v>1200</v>
      </c>
      <c r="I766" s="11">
        <f t="shared" ca="1" si="150"/>
        <v>0.82953912823842979</v>
      </c>
      <c r="J766" s="11">
        <f t="shared" ca="1" si="151"/>
        <v>10</v>
      </c>
      <c r="K766" s="24">
        <v>96</v>
      </c>
      <c r="L766" s="24">
        <f t="shared" ca="1" si="152"/>
        <v>100</v>
      </c>
      <c r="M766" s="24">
        <v>400</v>
      </c>
      <c r="N766" s="24">
        <v>20</v>
      </c>
      <c r="O766" s="24">
        <f t="shared" ca="1" si="153"/>
        <v>616</v>
      </c>
      <c r="P766" s="24">
        <v>784</v>
      </c>
      <c r="Q766" s="11">
        <f t="shared" ca="1" si="154"/>
        <v>100</v>
      </c>
      <c r="R766" s="24">
        <v>200</v>
      </c>
      <c r="S766" s="24">
        <v>10</v>
      </c>
      <c r="T766" s="24">
        <f t="shared" ca="1" si="155"/>
        <v>1094</v>
      </c>
    </row>
    <row r="767" spans="1:20" x14ac:dyDescent="0.45">
      <c r="A767" s="11">
        <v>754</v>
      </c>
      <c r="B767" s="11">
        <f t="shared" ca="1" si="143"/>
        <v>0.52033606827458301</v>
      </c>
      <c r="C767" s="11">
        <f t="shared" ca="1" si="144"/>
        <v>1300</v>
      </c>
      <c r="D767" s="11">
        <f t="shared" ca="1" si="145"/>
        <v>0.88669592845784984</v>
      </c>
      <c r="E767" s="11">
        <f t="shared" ca="1" si="146"/>
        <v>1700</v>
      </c>
      <c r="F767" s="11">
        <f t="shared" ca="1" si="147"/>
        <v>0.43960020352187301</v>
      </c>
      <c r="G767" s="11">
        <f t="shared" ca="1" si="148"/>
        <v>1200</v>
      </c>
      <c r="H767" s="11">
        <f t="shared" ca="1" si="149"/>
        <v>1200</v>
      </c>
      <c r="I767" s="11">
        <f t="shared" ca="1" si="150"/>
        <v>0.71139622975331895</v>
      </c>
      <c r="J767" s="11">
        <f t="shared" ca="1" si="151"/>
        <v>10</v>
      </c>
      <c r="K767" s="24">
        <v>96</v>
      </c>
      <c r="L767" s="24">
        <f t="shared" ca="1" si="152"/>
        <v>100</v>
      </c>
      <c r="M767" s="24">
        <v>400</v>
      </c>
      <c r="N767" s="24">
        <v>20</v>
      </c>
      <c r="O767" s="24">
        <f t="shared" ca="1" si="153"/>
        <v>616</v>
      </c>
      <c r="P767" s="24">
        <v>785</v>
      </c>
      <c r="Q767" s="11">
        <f t="shared" ca="1" si="154"/>
        <v>100</v>
      </c>
      <c r="R767" s="24">
        <v>200</v>
      </c>
      <c r="S767" s="24">
        <v>10</v>
      </c>
      <c r="T767" s="24">
        <f t="shared" ca="1" si="155"/>
        <v>1095</v>
      </c>
    </row>
    <row r="768" spans="1:20" x14ac:dyDescent="0.45">
      <c r="A768" s="11">
        <v>755</v>
      </c>
      <c r="B768" s="11">
        <f t="shared" ca="1" si="143"/>
        <v>0.274362605917716</v>
      </c>
      <c r="C768" s="11">
        <f t="shared" ca="1" si="144"/>
        <v>1200</v>
      </c>
      <c r="D768" s="11">
        <f t="shared" ca="1" si="145"/>
        <v>0.94453569068697607</v>
      </c>
      <c r="E768" s="11">
        <f t="shared" ca="1" si="146"/>
        <v>1800</v>
      </c>
      <c r="F768" s="11">
        <f t="shared" ca="1" si="147"/>
        <v>0.40303656268178401</v>
      </c>
      <c r="G768" s="11">
        <f t="shared" ca="1" si="148"/>
        <v>1200</v>
      </c>
      <c r="H768" s="11">
        <f t="shared" ca="1" si="149"/>
        <v>1200</v>
      </c>
      <c r="I768" s="11">
        <f t="shared" ca="1" si="150"/>
        <v>0.25851471797829084</v>
      </c>
      <c r="J768" s="11">
        <f t="shared" ca="1" si="151"/>
        <v>5</v>
      </c>
      <c r="K768" s="24">
        <v>96</v>
      </c>
      <c r="L768" s="24">
        <f t="shared" ca="1" si="152"/>
        <v>50</v>
      </c>
      <c r="M768" s="24">
        <v>400</v>
      </c>
      <c r="N768" s="24">
        <v>20</v>
      </c>
      <c r="O768" s="24">
        <f t="shared" ca="1" si="153"/>
        <v>566</v>
      </c>
      <c r="P768" s="24">
        <v>786</v>
      </c>
      <c r="Q768" s="11">
        <f t="shared" ca="1" si="154"/>
        <v>50</v>
      </c>
      <c r="R768" s="24">
        <v>200</v>
      </c>
      <c r="S768" s="24">
        <v>10</v>
      </c>
      <c r="T768" s="24">
        <f t="shared" ca="1" si="155"/>
        <v>1046</v>
      </c>
    </row>
    <row r="769" spans="1:20" x14ac:dyDescent="0.45">
      <c r="A769" s="11">
        <v>756</v>
      </c>
      <c r="B769" s="11">
        <f t="shared" ca="1" si="143"/>
        <v>0.73417113511649779</v>
      </c>
      <c r="C769" s="11">
        <f t="shared" ca="1" si="144"/>
        <v>1500</v>
      </c>
      <c r="D769" s="11">
        <f t="shared" ca="1" si="145"/>
        <v>0.4196733874971571</v>
      </c>
      <c r="E769" s="11">
        <f t="shared" ca="1" si="146"/>
        <v>1200</v>
      </c>
      <c r="F769" s="11">
        <f t="shared" ca="1" si="147"/>
        <v>0.78981370162129461</v>
      </c>
      <c r="G769" s="11">
        <f t="shared" ca="1" si="148"/>
        <v>1500</v>
      </c>
      <c r="H769" s="11">
        <f t="shared" ca="1" si="149"/>
        <v>1200</v>
      </c>
      <c r="I769" s="11">
        <f t="shared" ca="1" si="150"/>
        <v>0.82205413234247715</v>
      </c>
      <c r="J769" s="11">
        <f t="shared" ca="1" si="151"/>
        <v>10</v>
      </c>
      <c r="K769" s="24">
        <v>96</v>
      </c>
      <c r="L769" s="24">
        <f t="shared" ca="1" si="152"/>
        <v>100</v>
      </c>
      <c r="M769" s="24">
        <v>400</v>
      </c>
      <c r="N769" s="24">
        <v>20</v>
      </c>
      <c r="O769" s="24">
        <f t="shared" ca="1" si="153"/>
        <v>616</v>
      </c>
      <c r="P769" s="24">
        <v>787</v>
      </c>
      <c r="Q769" s="11">
        <f t="shared" ca="1" si="154"/>
        <v>100</v>
      </c>
      <c r="R769" s="24">
        <v>200</v>
      </c>
      <c r="S769" s="24">
        <v>10</v>
      </c>
      <c r="T769" s="24">
        <f t="shared" ca="1" si="155"/>
        <v>1097</v>
      </c>
    </row>
    <row r="770" spans="1:20" x14ac:dyDescent="0.45">
      <c r="A770" s="11">
        <v>757</v>
      </c>
      <c r="B770" s="11">
        <f t="shared" ca="1" si="143"/>
        <v>0.20049587692273918</v>
      </c>
      <c r="C770" s="11">
        <f t="shared" ca="1" si="144"/>
        <v>1100</v>
      </c>
      <c r="D770" s="11">
        <f t="shared" ca="1" si="145"/>
        <v>3.1952731697327152E-2</v>
      </c>
      <c r="E770" s="11">
        <f t="shared" ca="1" si="146"/>
        <v>1000</v>
      </c>
      <c r="F770" s="11">
        <f t="shared" ca="1" si="147"/>
        <v>0.19460183648140328</v>
      </c>
      <c r="G770" s="11">
        <f t="shared" ca="1" si="148"/>
        <v>1100</v>
      </c>
      <c r="H770" s="11">
        <f t="shared" ca="1" si="149"/>
        <v>1000</v>
      </c>
      <c r="I770" s="11">
        <f t="shared" ca="1" si="150"/>
        <v>0.57151295903857346</v>
      </c>
      <c r="J770" s="11">
        <f t="shared" ca="1" si="151"/>
        <v>5</v>
      </c>
      <c r="K770" s="24">
        <v>96</v>
      </c>
      <c r="L770" s="24">
        <f t="shared" ca="1" si="152"/>
        <v>50</v>
      </c>
      <c r="M770" s="24">
        <v>400</v>
      </c>
      <c r="N770" s="24">
        <v>20</v>
      </c>
      <c r="O770" s="24">
        <f t="shared" ca="1" si="153"/>
        <v>566</v>
      </c>
      <c r="P770" s="24">
        <v>788</v>
      </c>
      <c r="Q770" s="11">
        <f t="shared" ca="1" si="154"/>
        <v>50</v>
      </c>
      <c r="R770" s="24">
        <v>200</v>
      </c>
      <c r="S770" s="24">
        <v>10</v>
      </c>
      <c r="T770" s="24">
        <f t="shared" ca="1" si="155"/>
        <v>1048</v>
      </c>
    </row>
    <row r="771" spans="1:20" x14ac:dyDescent="0.45">
      <c r="A771" s="11">
        <v>758</v>
      </c>
      <c r="B771" s="11">
        <f t="shared" ca="1" si="143"/>
        <v>0.26181392052741381</v>
      </c>
      <c r="C771" s="11">
        <f t="shared" ca="1" si="144"/>
        <v>1200</v>
      </c>
      <c r="D771" s="11">
        <f t="shared" ca="1" si="145"/>
        <v>7.3845450023994674E-2</v>
      </c>
      <c r="E771" s="11">
        <f t="shared" ca="1" si="146"/>
        <v>1000</v>
      </c>
      <c r="F771" s="11">
        <f t="shared" ca="1" si="147"/>
        <v>0.28431981280066632</v>
      </c>
      <c r="G771" s="11">
        <f t="shared" ca="1" si="148"/>
        <v>1200</v>
      </c>
      <c r="H771" s="11">
        <f t="shared" ca="1" si="149"/>
        <v>1000</v>
      </c>
      <c r="I771" s="11">
        <f t="shared" ca="1" si="150"/>
        <v>0.19505394380782159</v>
      </c>
      <c r="J771" s="11">
        <f t="shared" ca="1" si="151"/>
        <v>5</v>
      </c>
      <c r="K771" s="24">
        <v>96</v>
      </c>
      <c r="L771" s="24">
        <f t="shared" ca="1" si="152"/>
        <v>50</v>
      </c>
      <c r="M771" s="24">
        <v>400</v>
      </c>
      <c r="N771" s="24">
        <v>20</v>
      </c>
      <c r="O771" s="24">
        <f t="shared" ca="1" si="153"/>
        <v>566</v>
      </c>
      <c r="P771" s="24">
        <v>789</v>
      </c>
      <c r="Q771" s="11">
        <f t="shared" ca="1" si="154"/>
        <v>50</v>
      </c>
      <c r="R771" s="24">
        <v>200</v>
      </c>
      <c r="S771" s="24">
        <v>10</v>
      </c>
      <c r="T771" s="24">
        <f t="shared" ca="1" si="155"/>
        <v>1049</v>
      </c>
    </row>
    <row r="772" spans="1:20" x14ac:dyDescent="0.45">
      <c r="A772" s="11">
        <v>759</v>
      </c>
      <c r="B772" s="11">
        <f t="shared" ca="1" si="143"/>
        <v>0.208074824111384</v>
      </c>
      <c r="C772" s="11">
        <f t="shared" ca="1" si="144"/>
        <v>1100</v>
      </c>
      <c r="D772" s="11">
        <f t="shared" ca="1" si="145"/>
        <v>9.2755450417653651E-2</v>
      </c>
      <c r="E772" s="11">
        <f t="shared" ca="1" si="146"/>
        <v>1000</v>
      </c>
      <c r="F772" s="11">
        <f t="shared" ca="1" si="147"/>
        <v>0.63407985958780388</v>
      </c>
      <c r="G772" s="11">
        <f t="shared" ca="1" si="148"/>
        <v>1400</v>
      </c>
      <c r="H772" s="11">
        <f t="shared" ca="1" si="149"/>
        <v>1000</v>
      </c>
      <c r="I772" s="11">
        <f t="shared" ca="1" si="150"/>
        <v>0.43524253741934904</v>
      </c>
      <c r="J772" s="11">
        <f t="shared" ca="1" si="151"/>
        <v>5</v>
      </c>
      <c r="K772" s="24">
        <v>96</v>
      </c>
      <c r="L772" s="24">
        <f t="shared" ca="1" si="152"/>
        <v>50</v>
      </c>
      <c r="M772" s="24">
        <v>400</v>
      </c>
      <c r="N772" s="24">
        <v>20</v>
      </c>
      <c r="O772" s="24">
        <f t="shared" ca="1" si="153"/>
        <v>566</v>
      </c>
      <c r="P772" s="24">
        <v>790</v>
      </c>
      <c r="Q772" s="11">
        <f t="shared" ca="1" si="154"/>
        <v>50</v>
      </c>
      <c r="R772" s="24">
        <v>200</v>
      </c>
      <c r="S772" s="24">
        <v>10</v>
      </c>
      <c r="T772" s="24">
        <f t="shared" ca="1" si="155"/>
        <v>1050</v>
      </c>
    </row>
    <row r="773" spans="1:20" x14ac:dyDescent="0.45">
      <c r="A773" s="11">
        <v>760</v>
      </c>
      <c r="B773" s="11">
        <f t="shared" ca="1" si="143"/>
        <v>0.86106151760011151</v>
      </c>
      <c r="C773" s="11">
        <f t="shared" ca="1" si="144"/>
        <v>1700</v>
      </c>
      <c r="D773" s="11">
        <f t="shared" ca="1" si="145"/>
        <v>0.83667641209711241</v>
      </c>
      <c r="E773" s="11">
        <f t="shared" ca="1" si="146"/>
        <v>1600</v>
      </c>
      <c r="F773" s="11">
        <f t="shared" ca="1" si="147"/>
        <v>0.99567410494628472</v>
      </c>
      <c r="G773" s="11">
        <f t="shared" ca="1" si="148"/>
        <v>1900</v>
      </c>
      <c r="H773" s="11">
        <f t="shared" ca="1" si="149"/>
        <v>1600</v>
      </c>
      <c r="I773" s="11">
        <f t="shared" ca="1" si="150"/>
        <v>0.62606786859932562</v>
      </c>
      <c r="J773" s="11">
        <f t="shared" ca="1" si="151"/>
        <v>10</v>
      </c>
      <c r="K773" s="24">
        <v>96</v>
      </c>
      <c r="L773" s="24">
        <f t="shared" ca="1" si="152"/>
        <v>100</v>
      </c>
      <c r="M773" s="24">
        <v>400</v>
      </c>
      <c r="N773" s="24">
        <v>20</v>
      </c>
      <c r="O773" s="24">
        <f t="shared" ca="1" si="153"/>
        <v>616</v>
      </c>
      <c r="P773" s="24">
        <v>791</v>
      </c>
      <c r="Q773" s="11">
        <f t="shared" ca="1" si="154"/>
        <v>100</v>
      </c>
      <c r="R773" s="24">
        <v>200</v>
      </c>
      <c r="S773" s="24">
        <v>10</v>
      </c>
      <c r="T773" s="24">
        <f t="shared" ca="1" si="155"/>
        <v>1101</v>
      </c>
    </row>
    <row r="774" spans="1:20" x14ac:dyDescent="0.45">
      <c r="A774" s="11">
        <v>761</v>
      </c>
      <c r="B774" s="11">
        <f t="shared" ca="1" si="143"/>
        <v>0.89010041663742512</v>
      </c>
      <c r="C774" s="11">
        <f t="shared" ca="1" si="144"/>
        <v>1700</v>
      </c>
      <c r="D774" s="11">
        <f t="shared" ca="1" si="145"/>
        <v>0.64834075818376768</v>
      </c>
      <c r="E774" s="11">
        <f t="shared" ca="1" si="146"/>
        <v>1400</v>
      </c>
      <c r="F774" s="11">
        <f t="shared" ca="1" si="147"/>
        <v>0.42110290926124483</v>
      </c>
      <c r="G774" s="11">
        <f t="shared" ca="1" si="148"/>
        <v>1200</v>
      </c>
      <c r="H774" s="11">
        <f t="shared" ca="1" si="149"/>
        <v>1200</v>
      </c>
      <c r="I774" s="11">
        <f t="shared" ca="1" si="150"/>
        <v>0.2455298358560426</v>
      </c>
      <c r="J774" s="11">
        <f t="shared" ca="1" si="151"/>
        <v>5</v>
      </c>
      <c r="K774" s="24">
        <v>96</v>
      </c>
      <c r="L774" s="24">
        <f t="shared" ca="1" si="152"/>
        <v>50</v>
      </c>
      <c r="M774" s="24">
        <v>400</v>
      </c>
      <c r="N774" s="24">
        <v>20</v>
      </c>
      <c r="O774" s="24">
        <f t="shared" ca="1" si="153"/>
        <v>566</v>
      </c>
      <c r="P774" s="24">
        <v>792</v>
      </c>
      <c r="Q774" s="11">
        <f t="shared" ca="1" si="154"/>
        <v>50</v>
      </c>
      <c r="R774" s="24">
        <v>200</v>
      </c>
      <c r="S774" s="24">
        <v>10</v>
      </c>
      <c r="T774" s="24">
        <f t="shared" ca="1" si="155"/>
        <v>1052</v>
      </c>
    </row>
    <row r="775" spans="1:20" x14ac:dyDescent="0.45">
      <c r="A775" s="11">
        <v>762</v>
      </c>
      <c r="B775" s="11">
        <f t="shared" ca="1" si="143"/>
        <v>0.3975654294473836</v>
      </c>
      <c r="C775" s="11">
        <f t="shared" ca="1" si="144"/>
        <v>1200</v>
      </c>
      <c r="D775" s="11">
        <f t="shared" ca="1" si="145"/>
        <v>0.68687561048448442</v>
      </c>
      <c r="E775" s="11">
        <f t="shared" ca="1" si="146"/>
        <v>1400</v>
      </c>
      <c r="F775" s="11">
        <f t="shared" ca="1" si="147"/>
        <v>9.8562849267678998E-2</v>
      </c>
      <c r="G775" s="11">
        <f t="shared" ca="1" si="148"/>
        <v>1000</v>
      </c>
      <c r="H775" s="11">
        <f t="shared" ca="1" si="149"/>
        <v>1000</v>
      </c>
      <c r="I775" s="11">
        <f t="shared" ca="1" si="150"/>
        <v>0.63245697590385808</v>
      </c>
      <c r="J775" s="11">
        <f t="shared" ca="1" si="151"/>
        <v>10</v>
      </c>
      <c r="K775" s="24">
        <v>96</v>
      </c>
      <c r="L775" s="24">
        <f t="shared" ca="1" si="152"/>
        <v>100</v>
      </c>
      <c r="M775" s="24">
        <v>400</v>
      </c>
      <c r="N775" s="24">
        <v>20</v>
      </c>
      <c r="O775" s="24">
        <f t="shared" ca="1" si="153"/>
        <v>616</v>
      </c>
      <c r="P775" s="24">
        <v>793</v>
      </c>
      <c r="Q775" s="11">
        <f t="shared" ca="1" si="154"/>
        <v>100</v>
      </c>
      <c r="R775" s="24">
        <v>200</v>
      </c>
      <c r="S775" s="24">
        <v>10</v>
      </c>
      <c r="T775" s="24">
        <f t="shared" ca="1" si="155"/>
        <v>1103</v>
      </c>
    </row>
    <row r="776" spans="1:20" x14ac:dyDescent="0.45">
      <c r="A776" s="11">
        <v>763</v>
      </c>
      <c r="B776" s="11">
        <f t="shared" ca="1" si="143"/>
        <v>0.50982888560855077</v>
      </c>
      <c r="C776" s="11">
        <f t="shared" ca="1" si="144"/>
        <v>1300</v>
      </c>
      <c r="D776" s="11">
        <f t="shared" ca="1" si="145"/>
        <v>0.541675038373858</v>
      </c>
      <c r="E776" s="11">
        <f t="shared" ca="1" si="146"/>
        <v>1300</v>
      </c>
      <c r="F776" s="11">
        <f t="shared" ca="1" si="147"/>
        <v>0.2582356322624525</v>
      </c>
      <c r="G776" s="11">
        <f t="shared" ca="1" si="148"/>
        <v>1200</v>
      </c>
      <c r="H776" s="11">
        <f t="shared" ca="1" si="149"/>
        <v>1200</v>
      </c>
      <c r="I776" s="11">
        <f t="shared" ca="1" si="150"/>
        <v>0.572064491073765</v>
      </c>
      <c r="J776" s="11">
        <f t="shared" ca="1" si="151"/>
        <v>5</v>
      </c>
      <c r="K776" s="24">
        <v>96</v>
      </c>
      <c r="L776" s="24">
        <f t="shared" ca="1" si="152"/>
        <v>50</v>
      </c>
      <c r="M776" s="24">
        <v>400</v>
      </c>
      <c r="N776" s="24">
        <v>20</v>
      </c>
      <c r="O776" s="24">
        <f t="shared" ca="1" si="153"/>
        <v>566</v>
      </c>
      <c r="P776" s="24">
        <v>794</v>
      </c>
      <c r="Q776" s="11">
        <f t="shared" ca="1" si="154"/>
        <v>50</v>
      </c>
      <c r="R776" s="24">
        <v>200</v>
      </c>
      <c r="S776" s="24">
        <v>10</v>
      </c>
      <c r="T776" s="24">
        <f t="shared" ca="1" si="155"/>
        <v>1054</v>
      </c>
    </row>
    <row r="777" spans="1:20" x14ac:dyDescent="0.45">
      <c r="A777" s="11">
        <v>764</v>
      </c>
      <c r="B777" s="11">
        <f t="shared" ca="1" si="143"/>
        <v>0.95029896278034764</v>
      </c>
      <c r="C777" s="11">
        <f t="shared" ca="1" si="144"/>
        <v>1900</v>
      </c>
      <c r="D777" s="11">
        <f t="shared" ca="1" si="145"/>
        <v>0.95961955673306309</v>
      </c>
      <c r="E777" s="11">
        <f t="shared" ca="1" si="146"/>
        <v>1900</v>
      </c>
      <c r="F777" s="11">
        <f t="shared" ca="1" si="147"/>
        <v>0.96742465582748438</v>
      </c>
      <c r="G777" s="11">
        <f t="shared" ca="1" si="148"/>
        <v>1900</v>
      </c>
      <c r="H777" s="11">
        <f t="shared" ca="1" si="149"/>
        <v>1900</v>
      </c>
      <c r="I777" s="11">
        <f t="shared" ca="1" si="150"/>
        <v>0.73428522358108206</v>
      </c>
      <c r="J777" s="11">
        <f t="shared" ca="1" si="151"/>
        <v>10</v>
      </c>
      <c r="K777" s="24">
        <v>96</v>
      </c>
      <c r="L777" s="24">
        <f t="shared" ca="1" si="152"/>
        <v>100</v>
      </c>
      <c r="M777" s="24">
        <v>400</v>
      </c>
      <c r="N777" s="24">
        <v>20</v>
      </c>
      <c r="O777" s="24">
        <f t="shared" ca="1" si="153"/>
        <v>616</v>
      </c>
      <c r="P777" s="24">
        <v>795</v>
      </c>
      <c r="Q777" s="11">
        <f t="shared" ca="1" si="154"/>
        <v>100</v>
      </c>
      <c r="R777" s="24">
        <v>200</v>
      </c>
      <c r="S777" s="24">
        <v>10</v>
      </c>
      <c r="T777" s="24">
        <f t="shared" ca="1" si="155"/>
        <v>1105</v>
      </c>
    </row>
    <row r="778" spans="1:20" x14ac:dyDescent="0.45">
      <c r="A778" s="11">
        <v>765</v>
      </c>
      <c r="B778" s="11">
        <f t="shared" ca="1" si="143"/>
        <v>0.9406221568386961</v>
      </c>
      <c r="C778" s="11">
        <f t="shared" ca="1" si="144"/>
        <v>1800</v>
      </c>
      <c r="D778" s="11">
        <f t="shared" ca="1" si="145"/>
        <v>0.38191567240759139</v>
      </c>
      <c r="E778" s="11">
        <f t="shared" ca="1" si="146"/>
        <v>1200</v>
      </c>
      <c r="F778" s="11">
        <f t="shared" ca="1" si="147"/>
        <v>0.23169734897828054</v>
      </c>
      <c r="G778" s="11">
        <f t="shared" ca="1" si="148"/>
        <v>1200</v>
      </c>
      <c r="H778" s="11">
        <f t="shared" ca="1" si="149"/>
        <v>1200</v>
      </c>
      <c r="I778" s="11">
        <f t="shared" ca="1" si="150"/>
        <v>0.31775555108261855</v>
      </c>
      <c r="J778" s="11">
        <f t="shared" ca="1" si="151"/>
        <v>5</v>
      </c>
      <c r="K778" s="24">
        <v>96</v>
      </c>
      <c r="L778" s="24">
        <f t="shared" ca="1" si="152"/>
        <v>50</v>
      </c>
      <c r="M778" s="24">
        <v>400</v>
      </c>
      <c r="N778" s="24">
        <v>20</v>
      </c>
      <c r="O778" s="24">
        <f t="shared" ca="1" si="153"/>
        <v>566</v>
      </c>
      <c r="P778" s="24">
        <v>796</v>
      </c>
      <c r="Q778" s="11">
        <f t="shared" ca="1" si="154"/>
        <v>50</v>
      </c>
      <c r="R778" s="24">
        <v>200</v>
      </c>
      <c r="S778" s="24">
        <v>10</v>
      </c>
      <c r="T778" s="24">
        <f t="shared" ca="1" si="155"/>
        <v>1056</v>
      </c>
    </row>
    <row r="779" spans="1:20" x14ac:dyDescent="0.45">
      <c r="A779" s="11">
        <v>766</v>
      </c>
      <c r="B779" s="11">
        <f t="shared" ca="1" si="143"/>
        <v>0.76455775450621288</v>
      </c>
      <c r="C779" s="11">
        <f t="shared" ca="1" si="144"/>
        <v>1500</v>
      </c>
      <c r="D779" s="11">
        <f t="shared" ca="1" si="145"/>
        <v>0.7974991300513008</v>
      </c>
      <c r="E779" s="11">
        <f t="shared" ca="1" si="146"/>
        <v>1500</v>
      </c>
      <c r="F779" s="11">
        <f t="shared" ca="1" si="147"/>
        <v>0.96502444032063617</v>
      </c>
      <c r="G779" s="11">
        <f t="shared" ca="1" si="148"/>
        <v>1900</v>
      </c>
      <c r="H779" s="11">
        <f t="shared" ca="1" si="149"/>
        <v>1500</v>
      </c>
      <c r="I779" s="11">
        <f t="shared" ca="1" si="150"/>
        <v>0.14105067116541736</v>
      </c>
      <c r="J779" s="11">
        <f t="shared" ca="1" si="151"/>
        <v>5</v>
      </c>
      <c r="K779" s="24">
        <v>96</v>
      </c>
      <c r="L779" s="24">
        <f t="shared" ca="1" si="152"/>
        <v>50</v>
      </c>
      <c r="M779" s="24">
        <v>400</v>
      </c>
      <c r="N779" s="24">
        <v>20</v>
      </c>
      <c r="O779" s="24">
        <f t="shared" ca="1" si="153"/>
        <v>566</v>
      </c>
      <c r="P779" s="24">
        <v>797</v>
      </c>
      <c r="Q779" s="11">
        <f t="shared" ca="1" si="154"/>
        <v>50</v>
      </c>
      <c r="R779" s="24">
        <v>200</v>
      </c>
      <c r="S779" s="24">
        <v>10</v>
      </c>
      <c r="T779" s="24">
        <f t="shared" ca="1" si="155"/>
        <v>1057</v>
      </c>
    </row>
    <row r="780" spans="1:20" x14ac:dyDescent="0.45">
      <c r="A780" s="11">
        <v>767</v>
      </c>
      <c r="B780" s="11">
        <f t="shared" ca="1" si="143"/>
        <v>0.69960031248903631</v>
      </c>
      <c r="C780" s="11">
        <f t="shared" ca="1" si="144"/>
        <v>1400</v>
      </c>
      <c r="D780" s="11">
        <f t="shared" ca="1" si="145"/>
        <v>0.51187494614696505</v>
      </c>
      <c r="E780" s="11">
        <f t="shared" ca="1" si="146"/>
        <v>1300</v>
      </c>
      <c r="F780" s="11">
        <f t="shared" ca="1" si="147"/>
        <v>0.14394993387592803</v>
      </c>
      <c r="G780" s="11">
        <f t="shared" ca="1" si="148"/>
        <v>1100</v>
      </c>
      <c r="H780" s="11">
        <f t="shared" ca="1" si="149"/>
        <v>1100</v>
      </c>
      <c r="I780" s="11">
        <f t="shared" ca="1" si="150"/>
        <v>0.47781648198026194</v>
      </c>
      <c r="J780" s="11">
        <f t="shared" ca="1" si="151"/>
        <v>5</v>
      </c>
      <c r="K780" s="24">
        <v>96</v>
      </c>
      <c r="L780" s="24">
        <f t="shared" ca="1" si="152"/>
        <v>50</v>
      </c>
      <c r="M780" s="24">
        <v>400</v>
      </c>
      <c r="N780" s="24">
        <v>20</v>
      </c>
      <c r="O780" s="24">
        <f t="shared" ca="1" si="153"/>
        <v>566</v>
      </c>
      <c r="P780" s="24">
        <v>798</v>
      </c>
      <c r="Q780" s="11">
        <f t="shared" ca="1" si="154"/>
        <v>50</v>
      </c>
      <c r="R780" s="24">
        <v>200</v>
      </c>
      <c r="S780" s="24">
        <v>10</v>
      </c>
      <c r="T780" s="24">
        <f t="shared" ca="1" si="155"/>
        <v>1058</v>
      </c>
    </row>
    <row r="781" spans="1:20" x14ac:dyDescent="0.45">
      <c r="A781" s="11">
        <v>768</v>
      </c>
      <c r="B781" s="11">
        <f t="shared" ca="1" si="143"/>
        <v>2.3889805553158783E-2</v>
      </c>
      <c r="C781" s="11">
        <f t="shared" ca="1" si="144"/>
        <v>1000</v>
      </c>
      <c r="D781" s="11">
        <f t="shared" ca="1" si="145"/>
        <v>0.57497337970340567</v>
      </c>
      <c r="E781" s="11">
        <f t="shared" ca="1" si="146"/>
        <v>1300</v>
      </c>
      <c r="F781" s="11">
        <f t="shared" ca="1" si="147"/>
        <v>0.93244469963483745</v>
      </c>
      <c r="G781" s="11">
        <f t="shared" ca="1" si="148"/>
        <v>1800</v>
      </c>
      <c r="H781" s="11">
        <f t="shared" ca="1" si="149"/>
        <v>1000</v>
      </c>
      <c r="I781" s="11">
        <f t="shared" ca="1" si="150"/>
        <v>0.97211475383033075</v>
      </c>
      <c r="J781" s="11">
        <f t="shared" ca="1" si="151"/>
        <v>15</v>
      </c>
      <c r="K781" s="24">
        <v>96</v>
      </c>
      <c r="L781" s="24">
        <f t="shared" ca="1" si="152"/>
        <v>150</v>
      </c>
      <c r="M781" s="24">
        <v>400</v>
      </c>
      <c r="N781" s="24">
        <v>20</v>
      </c>
      <c r="O781" s="24">
        <f t="shared" ca="1" si="153"/>
        <v>666</v>
      </c>
      <c r="P781" s="24">
        <v>799</v>
      </c>
      <c r="Q781" s="11">
        <f t="shared" ca="1" si="154"/>
        <v>150</v>
      </c>
      <c r="R781" s="24">
        <v>200</v>
      </c>
      <c r="S781" s="24">
        <v>10</v>
      </c>
      <c r="T781" s="24">
        <f t="shared" ca="1" si="155"/>
        <v>1159</v>
      </c>
    </row>
    <row r="782" spans="1:20" x14ac:dyDescent="0.45">
      <c r="A782" s="11">
        <v>769</v>
      </c>
      <c r="B782" s="11">
        <f t="shared" ca="1" si="143"/>
        <v>0.11308913885534744</v>
      </c>
      <c r="C782" s="11">
        <f t="shared" ca="1" si="144"/>
        <v>1100</v>
      </c>
      <c r="D782" s="11">
        <f t="shared" ca="1" si="145"/>
        <v>0.4886505468226916</v>
      </c>
      <c r="E782" s="11">
        <f t="shared" ca="1" si="146"/>
        <v>1300</v>
      </c>
      <c r="F782" s="11">
        <f t="shared" ca="1" si="147"/>
        <v>0.55481117899872578</v>
      </c>
      <c r="G782" s="11">
        <f t="shared" ca="1" si="148"/>
        <v>1300</v>
      </c>
      <c r="H782" s="11">
        <f t="shared" ca="1" si="149"/>
        <v>1100</v>
      </c>
      <c r="I782" s="11">
        <f t="shared" ca="1" si="150"/>
        <v>0.87809325155777318</v>
      </c>
      <c r="J782" s="11">
        <f t="shared" ca="1" si="151"/>
        <v>10</v>
      </c>
      <c r="K782" s="24">
        <v>96</v>
      </c>
      <c r="L782" s="24">
        <f t="shared" ca="1" si="152"/>
        <v>100</v>
      </c>
      <c r="M782" s="24">
        <v>400</v>
      </c>
      <c r="N782" s="24">
        <v>20</v>
      </c>
      <c r="O782" s="24">
        <f t="shared" ca="1" si="153"/>
        <v>616</v>
      </c>
      <c r="P782" s="24">
        <v>800</v>
      </c>
      <c r="Q782" s="11">
        <f t="shared" ca="1" si="154"/>
        <v>100</v>
      </c>
      <c r="R782" s="24">
        <v>200</v>
      </c>
      <c r="S782" s="24">
        <v>10</v>
      </c>
      <c r="T782" s="24">
        <f t="shared" ca="1" si="155"/>
        <v>1110</v>
      </c>
    </row>
    <row r="783" spans="1:20" x14ac:dyDescent="0.45">
      <c r="A783" s="11">
        <v>770</v>
      </c>
      <c r="B783" s="11">
        <f t="shared" ref="B783:B846" ca="1" si="156">RAND()</f>
        <v>0.38959497621986172</v>
      </c>
      <c r="C783" s="11">
        <f t="shared" ref="C783:C846" ca="1" si="157">LOOKUP(B783, $C$2:$C$11, $A$2:$A$11)</f>
        <v>1200</v>
      </c>
      <c r="D783" s="11">
        <f t="shared" ref="D783:D846" ca="1" si="158">RAND()</f>
        <v>0.35285312040787065</v>
      </c>
      <c r="E783" s="11">
        <f t="shared" ref="E783:E846" ca="1" si="159">LOOKUP(D783, $C$2:$C$11, $A$2:$A$11)</f>
        <v>1200</v>
      </c>
      <c r="F783" s="11">
        <f t="shared" ref="F783:F846" ca="1" si="160">RAND()</f>
        <v>0.64559946141891911</v>
      </c>
      <c r="G783" s="11">
        <f t="shared" ref="G783:G846" ca="1" si="161">LOOKUP(F783, $C$2:$C$11, $A$2:$A$11)</f>
        <v>1400</v>
      </c>
      <c r="H783" s="11">
        <f t="shared" ref="H783:H846" ca="1" si="162">MIN(C783, E783, G783)</f>
        <v>1200</v>
      </c>
      <c r="I783" s="11">
        <f t="shared" ref="I783:I846" ca="1" si="163">RAND()</f>
        <v>0.50705846319735548</v>
      </c>
      <c r="J783" s="11">
        <f t="shared" ref="J783:J846" ca="1" si="164">LOOKUP(I783, $G$2:$G$4, $E$2:$E$4)</f>
        <v>5</v>
      </c>
      <c r="K783" s="24">
        <v>96</v>
      </c>
      <c r="L783" s="24">
        <f t="shared" ref="L783:L846" ca="1" si="165">J783*10</f>
        <v>50</v>
      </c>
      <c r="M783" s="24">
        <v>400</v>
      </c>
      <c r="N783" s="24">
        <v>20</v>
      </c>
      <c r="O783" s="24">
        <f t="shared" ref="O783:O846" ca="1" si="166">K783+L783+M783+N783</f>
        <v>566</v>
      </c>
      <c r="P783" s="24">
        <v>801</v>
      </c>
      <c r="Q783" s="11">
        <f t="shared" ref="Q783:Q846" ca="1" si="167">J783*10</f>
        <v>50</v>
      </c>
      <c r="R783" s="24">
        <v>200</v>
      </c>
      <c r="S783" s="24">
        <v>10</v>
      </c>
      <c r="T783" s="24">
        <f t="shared" ref="T783:T846" ca="1" si="168">SUM(P783:S783)</f>
        <v>1061</v>
      </c>
    </row>
    <row r="784" spans="1:20" x14ac:dyDescent="0.45">
      <c r="A784" s="11">
        <v>771</v>
      </c>
      <c r="B784" s="11">
        <f t="shared" ca="1" si="156"/>
        <v>0.78376600544333963</v>
      </c>
      <c r="C784" s="11">
        <f t="shared" ca="1" si="157"/>
        <v>1500</v>
      </c>
      <c r="D784" s="11">
        <f t="shared" ca="1" si="158"/>
        <v>0.57622435632741187</v>
      </c>
      <c r="E784" s="11">
        <f t="shared" ca="1" si="159"/>
        <v>1300</v>
      </c>
      <c r="F784" s="11">
        <f t="shared" ca="1" si="160"/>
        <v>0.63787188393969929</v>
      </c>
      <c r="G784" s="11">
        <f t="shared" ca="1" si="161"/>
        <v>1400</v>
      </c>
      <c r="H784" s="11">
        <f t="shared" ca="1" si="162"/>
        <v>1300</v>
      </c>
      <c r="I784" s="11">
        <f t="shared" ca="1" si="163"/>
        <v>0.76417514500676043</v>
      </c>
      <c r="J784" s="11">
        <f t="shared" ca="1" si="164"/>
        <v>10</v>
      </c>
      <c r="K784" s="24">
        <v>96</v>
      </c>
      <c r="L784" s="24">
        <f t="shared" ca="1" si="165"/>
        <v>100</v>
      </c>
      <c r="M784" s="24">
        <v>400</v>
      </c>
      <c r="N784" s="24">
        <v>20</v>
      </c>
      <c r="O784" s="24">
        <f t="shared" ca="1" si="166"/>
        <v>616</v>
      </c>
      <c r="P784" s="24">
        <v>802</v>
      </c>
      <c r="Q784" s="11">
        <f t="shared" ca="1" si="167"/>
        <v>100</v>
      </c>
      <c r="R784" s="24">
        <v>200</v>
      </c>
      <c r="S784" s="24">
        <v>10</v>
      </c>
      <c r="T784" s="24">
        <f t="shared" ca="1" si="168"/>
        <v>1112</v>
      </c>
    </row>
    <row r="785" spans="1:20" x14ac:dyDescent="0.45">
      <c r="A785" s="11">
        <v>772</v>
      </c>
      <c r="B785" s="11">
        <f t="shared" ca="1" si="156"/>
        <v>0.43008714357476774</v>
      </c>
      <c r="C785" s="11">
        <f t="shared" ca="1" si="157"/>
        <v>1200</v>
      </c>
      <c r="D785" s="11">
        <f t="shared" ca="1" si="158"/>
        <v>0.111322578523251</v>
      </c>
      <c r="E785" s="11">
        <f t="shared" ca="1" si="159"/>
        <v>1100</v>
      </c>
      <c r="F785" s="11">
        <f t="shared" ca="1" si="160"/>
        <v>0.78220511776958501</v>
      </c>
      <c r="G785" s="11">
        <f t="shared" ca="1" si="161"/>
        <v>1500</v>
      </c>
      <c r="H785" s="11">
        <f t="shared" ca="1" si="162"/>
        <v>1100</v>
      </c>
      <c r="I785" s="11">
        <f t="shared" ca="1" si="163"/>
        <v>0.69737164050120581</v>
      </c>
      <c r="J785" s="11">
        <f t="shared" ca="1" si="164"/>
        <v>10</v>
      </c>
      <c r="K785" s="24">
        <v>96</v>
      </c>
      <c r="L785" s="24">
        <f t="shared" ca="1" si="165"/>
        <v>100</v>
      </c>
      <c r="M785" s="24">
        <v>400</v>
      </c>
      <c r="N785" s="24">
        <v>20</v>
      </c>
      <c r="O785" s="24">
        <f t="shared" ca="1" si="166"/>
        <v>616</v>
      </c>
      <c r="P785" s="24">
        <v>803</v>
      </c>
      <c r="Q785" s="11">
        <f t="shared" ca="1" si="167"/>
        <v>100</v>
      </c>
      <c r="R785" s="24">
        <v>200</v>
      </c>
      <c r="S785" s="24">
        <v>10</v>
      </c>
      <c r="T785" s="24">
        <f t="shared" ca="1" si="168"/>
        <v>1113</v>
      </c>
    </row>
    <row r="786" spans="1:20" x14ac:dyDescent="0.45">
      <c r="A786" s="11">
        <v>773</v>
      </c>
      <c r="B786" s="11">
        <f t="shared" ca="1" si="156"/>
        <v>0.81668229060280295</v>
      </c>
      <c r="C786" s="11">
        <f t="shared" ca="1" si="157"/>
        <v>1500</v>
      </c>
      <c r="D786" s="11">
        <f t="shared" ca="1" si="158"/>
        <v>0.94068944729381521</v>
      </c>
      <c r="E786" s="11">
        <f t="shared" ca="1" si="159"/>
        <v>1800</v>
      </c>
      <c r="F786" s="11">
        <f t="shared" ca="1" si="160"/>
        <v>0.12903030171462027</v>
      </c>
      <c r="G786" s="11">
        <f t="shared" ca="1" si="161"/>
        <v>1100</v>
      </c>
      <c r="H786" s="11">
        <f t="shared" ca="1" si="162"/>
        <v>1100</v>
      </c>
      <c r="I786" s="11">
        <f t="shared" ca="1" si="163"/>
        <v>0.39582143453702678</v>
      </c>
      <c r="J786" s="11">
        <f t="shared" ca="1" si="164"/>
        <v>5</v>
      </c>
      <c r="K786" s="24">
        <v>96</v>
      </c>
      <c r="L786" s="24">
        <f t="shared" ca="1" si="165"/>
        <v>50</v>
      </c>
      <c r="M786" s="24">
        <v>400</v>
      </c>
      <c r="N786" s="24">
        <v>20</v>
      </c>
      <c r="O786" s="24">
        <f t="shared" ca="1" si="166"/>
        <v>566</v>
      </c>
      <c r="P786" s="24">
        <v>804</v>
      </c>
      <c r="Q786" s="11">
        <f t="shared" ca="1" si="167"/>
        <v>50</v>
      </c>
      <c r="R786" s="24">
        <v>200</v>
      </c>
      <c r="S786" s="24">
        <v>10</v>
      </c>
      <c r="T786" s="24">
        <f t="shared" ca="1" si="168"/>
        <v>1064</v>
      </c>
    </row>
    <row r="787" spans="1:20" x14ac:dyDescent="0.45">
      <c r="A787" s="11">
        <v>774</v>
      </c>
      <c r="B787" s="11">
        <f t="shared" ca="1" si="156"/>
        <v>0.50263357513617835</v>
      </c>
      <c r="C787" s="11">
        <f t="shared" ca="1" si="157"/>
        <v>1300</v>
      </c>
      <c r="D787" s="11">
        <f t="shared" ca="1" si="158"/>
        <v>6.2839751447342329E-2</v>
      </c>
      <c r="E787" s="11">
        <f t="shared" ca="1" si="159"/>
        <v>1000</v>
      </c>
      <c r="F787" s="11">
        <f t="shared" ca="1" si="160"/>
        <v>0.12551083817719288</v>
      </c>
      <c r="G787" s="11">
        <f t="shared" ca="1" si="161"/>
        <v>1100</v>
      </c>
      <c r="H787" s="11">
        <f t="shared" ca="1" si="162"/>
        <v>1000</v>
      </c>
      <c r="I787" s="11">
        <f t="shared" ca="1" si="163"/>
        <v>0.21203171509647145</v>
      </c>
      <c r="J787" s="11">
        <f t="shared" ca="1" si="164"/>
        <v>5</v>
      </c>
      <c r="K787" s="24">
        <v>96</v>
      </c>
      <c r="L787" s="24">
        <f t="shared" ca="1" si="165"/>
        <v>50</v>
      </c>
      <c r="M787" s="24">
        <v>400</v>
      </c>
      <c r="N787" s="24">
        <v>20</v>
      </c>
      <c r="O787" s="24">
        <f t="shared" ca="1" si="166"/>
        <v>566</v>
      </c>
      <c r="P787" s="24">
        <v>805</v>
      </c>
      <c r="Q787" s="11">
        <f t="shared" ca="1" si="167"/>
        <v>50</v>
      </c>
      <c r="R787" s="24">
        <v>200</v>
      </c>
      <c r="S787" s="24">
        <v>10</v>
      </c>
      <c r="T787" s="24">
        <f t="shared" ca="1" si="168"/>
        <v>1065</v>
      </c>
    </row>
    <row r="788" spans="1:20" x14ac:dyDescent="0.45">
      <c r="A788" s="11">
        <v>775</v>
      </c>
      <c r="B788" s="11">
        <f t="shared" ca="1" si="156"/>
        <v>0.46280574337436542</v>
      </c>
      <c r="C788" s="11">
        <f t="shared" ca="1" si="157"/>
        <v>1200</v>
      </c>
      <c r="D788" s="11">
        <f t="shared" ca="1" si="158"/>
        <v>0.3938976946331767</v>
      </c>
      <c r="E788" s="11">
        <f t="shared" ca="1" si="159"/>
        <v>1200</v>
      </c>
      <c r="F788" s="11">
        <f t="shared" ca="1" si="160"/>
        <v>0.7854251679938089</v>
      </c>
      <c r="G788" s="11">
        <f t="shared" ca="1" si="161"/>
        <v>1500</v>
      </c>
      <c r="H788" s="11">
        <f t="shared" ca="1" si="162"/>
        <v>1200</v>
      </c>
      <c r="I788" s="11">
        <f t="shared" ca="1" si="163"/>
        <v>0.24208769918292983</v>
      </c>
      <c r="J788" s="11">
        <f t="shared" ca="1" si="164"/>
        <v>5</v>
      </c>
      <c r="K788" s="24">
        <v>96</v>
      </c>
      <c r="L788" s="24">
        <f t="shared" ca="1" si="165"/>
        <v>50</v>
      </c>
      <c r="M788" s="24">
        <v>400</v>
      </c>
      <c r="N788" s="24">
        <v>20</v>
      </c>
      <c r="O788" s="24">
        <f t="shared" ca="1" si="166"/>
        <v>566</v>
      </c>
      <c r="P788" s="24">
        <v>806</v>
      </c>
      <c r="Q788" s="11">
        <f t="shared" ca="1" si="167"/>
        <v>50</v>
      </c>
      <c r="R788" s="24">
        <v>200</v>
      </c>
      <c r="S788" s="24">
        <v>10</v>
      </c>
      <c r="T788" s="24">
        <f t="shared" ca="1" si="168"/>
        <v>1066</v>
      </c>
    </row>
    <row r="789" spans="1:20" x14ac:dyDescent="0.45">
      <c r="A789" s="11">
        <v>776</v>
      </c>
      <c r="B789" s="11">
        <f t="shared" ca="1" si="156"/>
        <v>0.23281211581607641</v>
      </c>
      <c r="C789" s="11">
        <f t="shared" ca="1" si="157"/>
        <v>1200</v>
      </c>
      <c r="D789" s="11">
        <f t="shared" ca="1" si="158"/>
        <v>0.44961083139587876</v>
      </c>
      <c r="E789" s="11">
        <f t="shared" ca="1" si="159"/>
        <v>1200</v>
      </c>
      <c r="F789" s="11">
        <f t="shared" ca="1" si="160"/>
        <v>0.56859068297973014</v>
      </c>
      <c r="G789" s="11">
        <f t="shared" ca="1" si="161"/>
        <v>1300</v>
      </c>
      <c r="H789" s="11">
        <f t="shared" ca="1" si="162"/>
        <v>1200</v>
      </c>
      <c r="I789" s="11">
        <f t="shared" ca="1" si="163"/>
        <v>0.49685186430797923</v>
      </c>
      <c r="J789" s="11">
        <f t="shared" ca="1" si="164"/>
        <v>5</v>
      </c>
      <c r="K789" s="24">
        <v>96</v>
      </c>
      <c r="L789" s="24">
        <f t="shared" ca="1" si="165"/>
        <v>50</v>
      </c>
      <c r="M789" s="24">
        <v>400</v>
      </c>
      <c r="N789" s="24">
        <v>20</v>
      </c>
      <c r="O789" s="24">
        <f t="shared" ca="1" si="166"/>
        <v>566</v>
      </c>
      <c r="P789" s="24">
        <v>807</v>
      </c>
      <c r="Q789" s="11">
        <f t="shared" ca="1" si="167"/>
        <v>50</v>
      </c>
      <c r="R789" s="24">
        <v>200</v>
      </c>
      <c r="S789" s="24">
        <v>10</v>
      </c>
      <c r="T789" s="24">
        <f t="shared" ca="1" si="168"/>
        <v>1067</v>
      </c>
    </row>
    <row r="790" spans="1:20" x14ac:dyDescent="0.45">
      <c r="A790" s="11">
        <v>777</v>
      </c>
      <c r="B790" s="11">
        <f t="shared" ca="1" si="156"/>
        <v>5.3553429650415429E-2</v>
      </c>
      <c r="C790" s="11">
        <f t="shared" ca="1" si="157"/>
        <v>1000</v>
      </c>
      <c r="D790" s="11">
        <f t="shared" ca="1" si="158"/>
        <v>0.65432328121008176</v>
      </c>
      <c r="E790" s="11">
        <f t="shared" ca="1" si="159"/>
        <v>1400</v>
      </c>
      <c r="F790" s="11">
        <f t="shared" ca="1" si="160"/>
        <v>0.9744329546810705</v>
      </c>
      <c r="G790" s="11">
        <f t="shared" ca="1" si="161"/>
        <v>1900</v>
      </c>
      <c r="H790" s="11">
        <f t="shared" ca="1" si="162"/>
        <v>1000</v>
      </c>
      <c r="I790" s="11">
        <f t="shared" ca="1" si="163"/>
        <v>9.4107857907549719E-2</v>
      </c>
      <c r="J790" s="11">
        <f t="shared" ca="1" si="164"/>
        <v>5</v>
      </c>
      <c r="K790" s="24">
        <v>96</v>
      </c>
      <c r="L790" s="24">
        <f t="shared" ca="1" si="165"/>
        <v>50</v>
      </c>
      <c r="M790" s="24">
        <v>400</v>
      </c>
      <c r="N790" s="24">
        <v>20</v>
      </c>
      <c r="O790" s="24">
        <f t="shared" ca="1" si="166"/>
        <v>566</v>
      </c>
      <c r="P790" s="24">
        <v>808</v>
      </c>
      <c r="Q790" s="11">
        <f t="shared" ca="1" si="167"/>
        <v>50</v>
      </c>
      <c r="R790" s="24">
        <v>200</v>
      </c>
      <c r="S790" s="24">
        <v>10</v>
      </c>
      <c r="T790" s="24">
        <f t="shared" ca="1" si="168"/>
        <v>1068</v>
      </c>
    </row>
    <row r="791" spans="1:20" x14ac:dyDescent="0.45">
      <c r="A791" s="11">
        <v>778</v>
      </c>
      <c r="B791" s="11">
        <f t="shared" ca="1" si="156"/>
        <v>0.71485867642474243</v>
      </c>
      <c r="C791" s="11">
        <f t="shared" ca="1" si="157"/>
        <v>1500</v>
      </c>
      <c r="D791" s="11">
        <f t="shared" ca="1" si="158"/>
        <v>0.61366545124122684</v>
      </c>
      <c r="E791" s="11">
        <f t="shared" ca="1" si="159"/>
        <v>1400</v>
      </c>
      <c r="F791" s="11">
        <f t="shared" ca="1" si="160"/>
        <v>8.4627062560966859E-2</v>
      </c>
      <c r="G791" s="11">
        <f t="shared" ca="1" si="161"/>
        <v>1000</v>
      </c>
      <c r="H791" s="11">
        <f t="shared" ca="1" si="162"/>
        <v>1000</v>
      </c>
      <c r="I791" s="11">
        <f t="shared" ca="1" si="163"/>
        <v>0.36107879577443425</v>
      </c>
      <c r="J791" s="11">
        <f t="shared" ca="1" si="164"/>
        <v>5</v>
      </c>
      <c r="K791" s="24">
        <v>96</v>
      </c>
      <c r="L791" s="24">
        <f t="shared" ca="1" si="165"/>
        <v>50</v>
      </c>
      <c r="M791" s="24">
        <v>400</v>
      </c>
      <c r="N791" s="24">
        <v>20</v>
      </c>
      <c r="O791" s="24">
        <f t="shared" ca="1" si="166"/>
        <v>566</v>
      </c>
      <c r="P791" s="24">
        <v>809</v>
      </c>
      <c r="Q791" s="11">
        <f t="shared" ca="1" si="167"/>
        <v>50</v>
      </c>
      <c r="R791" s="24">
        <v>200</v>
      </c>
      <c r="S791" s="24">
        <v>10</v>
      </c>
      <c r="T791" s="24">
        <f t="shared" ca="1" si="168"/>
        <v>1069</v>
      </c>
    </row>
    <row r="792" spans="1:20" x14ac:dyDescent="0.45">
      <c r="A792" s="11">
        <v>779</v>
      </c>
      <c r="B792" s="11">
        <f t="shared" ca="1" si="156"/>
        <v>0.18572387852892369</v>
      </c>
      <c r="C792" s="11">
        <f t="shared" ca="1" si="157"/>
        <v>1100</v>
      </c>
      <c r="D792" s="11">
        <f t="shared" ca="1" si="158"/>
        <v>0.98278151392399093</v>
      </c>
      <c r="E792" s="11">
        <f t="shared" ca="1" si="159"/>
        <v>1900</v>
      </c>
      <c r="F792" s="11">
        <f t="shared" ca="1" si="160"/>
        <v>0.76631026843828831</v>
      </c>
      <c r="G792" s="11">
        <f t="shared" ca="1" si="161"/>
        <v>1500</v>
      </c>
      <c r="H792" s="11">
        <f t="shared" ca="1" si="162"/>
        <v>1100</v>
      </c>
      <c r="I792" s="11">
        <f t="shared" ca="1" si="163"/>
        <v>0.8548218482905674</v>
      </c>
      <c r="J792" s="11">
        <f t="shared" ca="1" si="164"/>
        <v>10</v>
      </c>
      <c r="K792" s="24">
        <v>96</v>
      </c>
      <c r="L792" s="24">
        <f t="shared" ca="1" si="165"/>
        <v>100</v>
      </c>
      <c r="M792" s="24">
        <v>400</v>
      </c>
      <c r="N792" s="24">
        <v>20</v>
      </c>
      <c r="O792" s="24">
        <f t="shared" ca="1" si="166"/>
        <v>616</v>
      </c>
      <c r="P792" s="24">
        <v>810</v>
      </c>
      <c r="Q792" s="11">
        <f t="shared" ca="1" si="167"/>
        <v>100</v>
      </c>
      <c r="R792" s="24">
        <v>200</v>
      </c>
      <c r="S792" s="24">
        <v>10</v>
      </c>
      <c r="T792" s="24">
        <f t="shared" ca="1" si="168"/>
        <v>1120</v>
      </c>
    </row>
    <row r="793" spans="1:20" x14ac:dyDescent="0.45">
      <c r="A793" s="11">
        <v>780</v>
      </c>
      <c r="B793" s="11">
        <f t="shared" ca="1" si="156"/>
        <v>0.77778380999272401</v>
      </c>
      <c r="C793" s="11">
        <f t="shared" ca="1" si="157"/>
        <v>1500</v>
      </c>
      <c r="D793" s="11">
        <f t="shared" ca="1" si="158"/>
        <v>0.51119157040240559</v>
      </c>
      <c r="E793" s="11">
        <f t="shared" ca="1" si="159"/>
        <v>1300</v>
      </c>
      <c r="F793" s="11">
        <f t="shared" ca="1" si="160"/>
        <v>0.46768714951018109</v>
      </c>
      <c r="G793" s="11">
        <f t="shared" ca="1" si="161"/>
        <v>1200</v>
      </c>
      <c r="H793" s="11">
        <f t="shared" ca="1" si="162"/>
        <v>1200</v>
      </c>
      <c r="I793" s="11">
        <f t="shared" ca="1" si="163"/>
        <v>0.21044264049945138</v>
      </c>
      <c r="J793" s="11">
        <f t="shared" ca="1" si="164"/>
        <v>5</v>
      </c>
      <c r="K793" s="24">
        <v>96</v>
      </c>
      <c r="L793" s="24">
        <f t="shared" ca="1" si="165"/>
        <v>50</v>
      </c>
      <c r="M793" s="24">
        <v>400</v>
      </c>
      <c r="N793" s="24">
        <v>20</v>
      </c>
      <c r="O793" s="24">
        <f t="shared" ca="1" si="166"/>
        <v>566</v>
      </c>
      <c r="P793" s="24">
        <v>811</v>
      </c>
      <c r="Q793" s="11">
        <f t="shared" ca="1" si="167"/>
        <v>50</v>
      </c>
      <c r="R793" s="24">
        <v>200</v>
      </c>
      <c r="S793" s="24">
        <v>10</v>
      </c>
      <c r="T793" s="24">
        <f t="shared" ca="1" si="168"/>
        <v>1071</v>
      </c>
    </row>
    <row r="794" spans="1:20" x14ac:dyDescent="0.45">
      <c r="A794" s="11">
        <v>781</v>
      </c>
      <c r="B794" s="11">
        <f t="shared" ca="1" si="156"/>
        <v>0.56143346963537422</v>
      </c>
      <c r="C794" s="11">
        <f t="shared" ca="1" si="157"/>
        <v>1300</v>
      </c>
      <c r="D794" s="11">
        <f t="shared" ca="1" si="158"/>
        <v>0.79911005440346805</v>
      </c>
      <c r="E794" s="11">
        <f t="shared" ca="1" si="159"/>
        <v>1500</v>
      </c>
      <c r="F794" s="11">
        <f t="shared" ca="1" si="160"/>
        <v>0.891543723219682</v>
      </c>
      <c r="G794" s="11">
        <f t="shared" ca="1" si="161"/>
        <v>1700</v>
      </c>
      <c r="H794" s="11">
        <f t="shared" ca="1" si="162"/>
        <v>1300</v>
      </c>
      <c r="I794" s="11">
        <f t="shared" ca="1" si="163"/>
        <v>0.50023252103747762</v>
      </c>
      <c r="J794" s="11">
        <f t="shared" ca="1" si="164"/>
        <v>5</v>
      </c>
      <c r="K794" s="24">
        <v>96</v>
      </c>
      <c r="L794" s="24">
        <f t="shared" ca="1" si="165"/>
        <v>50</v>
      </c>
      <c r="M794" s="24">
        <v>400</v>
      </c>
      <c r="N794" s="24">
        <v>20</v>
      </c>
      <c r="O794" s="24">
        <f t="shared" ca="1" si="166"/>
        <v>566</v>
      </c>
      <c r="P794" s="24">
        <v>812</v>
      </c>
      <c r="Q794" s="11">
        <f t="shared" ca="1" si="167"/>
        <v>50</v>
      </c>
      <c r="R794" s="24">
        <v>200</v>
      </c>
      <c r="S794" s="24">
        <v>10</v>
      </c>
      <c r="T794" s="24">
        <f t="shared" ca="1" si="168"/>
        <v>1072</v>
      </c>
    </row>
    <row r="795" spans="1:20" x14ac:dyDescent="0.45">
      <c r="A795" s="11">
        <v>782</v>
      </c>
      <c r="B795" s="11">
        <f t="shared" ca="1" si="156"/>
        <v>0.33169296312508778</v>
      </c>
      <c r="C795" s="11">
        <f t="shared" ca="1" si="157"/>
        <v>1200</v>
      </c>
      <c r="D795" s="11">
        <f t="shared" ca="1" si="158"/>
        <v>0.46753024643011387</v>
      </c>
      <c r="E795" s="11">
        <f t="shared" ca="1" si="159"/>
        <v>1200</v>
      </c>
      <c r="F795" s="11">
        <f t="shared" ca="1" si="160"/>
        <v>0.26583175731377595</v>
      </c>
      <c r="G795" s="11">
        <f t="shared" ca="1" si="161"/>
        <v>1200</v>
      </c>
      <c r="H795" s="11">
        <f t="shared" ca="1" si="162"/>
        <v>1200</v>
      </c>
      <c r="I795" s="11">
        <f t="shared" ca="1" si="163"/>
        <v>0.32493610843570708</v>
      </c>
      <c r="J795" s="11">
        <f t="shared" ca="1" si="164"/>
        <v>5</v>
      </c>
      <c r="K795" s="24">
        <v>96</v>
      </c>
      <c r="L795" s="24">
        <f t="shared" ca="1" si="165"/>
        <v>50</v>
      </c>
      <c r="M795" s="24">
        <v>400</v>
      </c>
      <c r="N795" s="24">
        <v>20</v>
      </c>
      <c r="O795" s="24">
        <f t="shared" ca="1" si="166"/>
        <v>566</v>
      </c>
      <c r="P795" s="24">
        <v>813</v>
      </c>
      <c r="Q795" s="11">
        <f t="shared" ca="1" si="167"/>
        <v>50</v>
      </c>
      <c r="R795" s="24">
        <v>200</v>
      </c>
      <c r="S795" s="24">
        <v>10</v>
      </c>
      <c r="T795" s="24">
        <f t="shared" ca="1" si="168"/>
        <v>1073</v>
      </c>
    </row>
    <row r="796" spans="1:20" x14ac:dyDescent="0.45">
      <c r="A796" s="11">
        <v>783</v>
      </c>
      <c r="B796" s="11">
        <f t="shared" ca="1" si="156"/>
        <v>0.4876568924071969</v>
      </c>
      <c r="C796" s="11">
        <f t="shared" ca="1" si="157"/>
        <v>1300</v>
      </c>
      <c r="D796" s="11">
        <f t="shared" ca="1" si="158"/>
        <v>0.48165198918942964</v>
      </c>
      <c r="E796" s="11">
        <f t="shared" ca="1" si="159"/>
        <v>1300</v>
      </c>
      <c r="F796" s="11">
        <f t="shared" ca="1" si="160"/>
        <v>0.43662859227810547</v>
      </c>
      <c r="G796" s="11">
        <f t="shared" ca="1" si="161"/>
        <v>1200</v>
      </c>
      <c r="H796" s="11">
        <f t="shared" ca="1" si="162"/>
        <v>1200</v>
      </c>
      <c r="I796" s="11">
        <f t="shared" ca="1" si="163"/>
        <v>0.6604256082838732</v>
      </c>
      <c r="J796" s="11">
        <f t="shared" ca="1" si="164"/>
        <v>10</v>
      </c>
      <c r="K796" s="24">
        <v>96</v>
      </c>
      <c r="L796" s="24">
        <f t="shared" ca="1" si="165"/>
        <v>100</v>
      </c>
      <c r="M796" s="24">
        <v>400</v>
      </c>
      <c r="N796" s="24">
        <v>20</v>
      </c>
      <c r="O796" s="24">
        <f t="shared" ca="1" si="166"/>
        <v>616</v>
      </c>
      <c r="P796" s="24">
        <v>814</v>
      </c>
      <c r="Q796" s="11">
        <f t="shared" ca="1" si="167"/>
        <v>100</v>
      </c>
      <c r="R796" s="24">
        <v>200</v>
      </c>
      <c r="S796" s="24">
        <v>10</v>
      </c>
      <c r="T796" s="24">
        <f t="shared" ca="1" si="168"/>
        <v>1124</v>
      </c>
    </row>
    <row r="797" spans="1:20" x14ac:dyDescent="0.45">
      <c r="A797" s="11">
        <v>784</v>
      </c>
      <c r="B797" s="11">
        <f t="shared" ca="1" si="156"/>
        <v>0.19374389685668658</v>
      </c>
      <c r="C797" s="11">
        <f t="shared" ca="1" si="157"/>
        <v>1100</v>
      </c>
      <c r="D797" s="11">
        <f t="shared" ca="1" si="158"/>
        <v>0.26090897211563524</v>
      </c>
      <c r="E797" s="11">
        <f t="shared" ca="1" si="159"/>
        <v>1200</v>
      </c>
      <c r="F797" s="11">
        <f t="shared" ca="1" si="160"/>
        <v>0.19863913327402472</v>
      </c>
      <c r="G797" s="11">
        <f t="shared" ca="1" si="161"/>
        <v>1100</v>
      </c>
      <c r="H797" s="11">
        <f t="shared" ca="1" si="162"/>
        <v>1100</v>
      </c>
      <c r="I797" s="11">
        <f t="shared" ca="1" si="163"/>
        <v>0.15168311142177826</v>
      </c>
      <c r="J797" s="11">
        <f t="shared" ca="1" si="164"/>
        <v>5</v>
      </c>
      <c r="K797" s="24">
        <v>96</v>
      </c>
      <c r="L797" s="24">
        <f t="shared" ca="1" si="165"/>
        <v>50</v>
      </c>
      <c r="M797" s="24">
        <v>400</v>
      </c>
      <c r="N797" s="24">
        <v>20</v>
      </c>
      <c r="O797" s="24">
        <f t="shared" ca="1" si="166"/>
        <v>566</v>
      </c>
      <c r="P797" s="24">
        <v>815</v>
      </c>
      <c r="Q797" s="11">
        <f t="shared" ca="1" si="167"/>
        <v>50</v>
      </c>
      <c r="R797" s="24">
        <v>200</v>
      </c>
      <c r="S797" s="24">
        <v>10</v>
      </c>
      <c r="T797" s="24">
        <f t="shared" ca="1" si="168"/>
        <v>1075</v>
      </c>
    </row>
    <row r="798" spans="1:20" x14ac:dyDescent="0.45">
      <c r="A798" s="11">
        <v>785</v>
      </c>
      <c r="B798" s="11">
        <f t="shared" ca="1" si="156"/>
        <v>0.88560810730798523</v>
      </c>
      <c r="C798" s="11">
        <f t="shared" ca="1" si="157"/>
        <v>1700</v>
      </c>
      <c r="D798" s="11">
        <f t="shared" ca="1" si="158"/>
        <v>5.0406696997958966E-2</v>
      </c>
      <c r="E798" s="11">
        <f t="shared" ca="1" si="159"/>
        <v>1000</v>
      </c>
      <c r="F798" s="11">
        <f t="shared" ca="1" si="160"/>
        <v>0.5575778532158786</v>
      </c>
      <c r="G798" s="11">
        <f t="shared" ca="1" si="161"/>
        <v>1300</v>
      </c>
      <c r="H798" s="11">
        <f t="shared" ca="1" si="162"/>
        <v>1000</v>
      </c>
      <c r="I798" s="11">
        <f t="shared" ca="1" si="163"/>
        <v>0.96749780396704099</v>
      </c>
      <c r="J798" s="11">
        <f t="shared" ca="1" si="164"/>
        <v>15</v>
      </c>
      <c r="K798" s="24">
        <v>96</v>
      </c>
      <c r="L798" s="24">
        <f t="shared" ca="1" si="165"/>
        <v>150</v>
      </c>
      <c r="M798" s="24">
        <v>400</v>
      </c>
      <c r="N798" s="24">
        <v>20</v>
      </c>
      <c r="O798" s="24">
        <f t="shared" ca="1" si="166"/>
        <v>666</v>
      </c>
      <c r="P798" s="24">
        <v>816</v>
      </c>
      <c r="Q798" s="11">
        <f t="shared" ca="1" si="167"/>
        <v>150</v>
      </c>
      <c r="R798" s="24">
        <v>200</v>
      </c>
      <c r="S798" s="24">
        <v>10</v>
      </c>
      <c r="T798" s="24">
        <f t="shared" ca="1" si="168"/>
        <v>1176</v>
      </c>
    </row>
    <row r="799" spans="1:20" x14ac:dyDescent="0.45">
      <c r="A799" s="11">
        <v>786</v>
      </c>
      <c r="B799" s="11">
        <f t="shared" ca="1" si="156"/>
        <v>0.2736742608766225</v>
      </c>
      <c r="C799" s="11">
        <f t="shared" ca="1" si="157"/>
        <v>1200</v>
      </c>
      <c r="D799" s="11">
        <f t="shared" ca="1" si="158"/>
        <v>0.43956510703680418</v>
      </c>
      <c r="E799" s="11">
        <f t="shared" ca="1" si="159"/>
        <v>1200</v>
      </c>
      <c r="F799" s="11">
        <f t="shared" ca="1" si="160"/>
        <v>0.46741594730041236</v>
      </c>
      <c r="G799" s="11">
        <f t="shared" ca="1" si="161"/>
        <v>1200</v>
      </c>
      <c r="H799" s="11">
        <f t="shared" ca="1" si="162"/>
        <v>1200</v>
      </c>
      <c r="I799" s="11">
        <f t="shared" ca="1" si="163"/>
        <v>7.8844357066619408E-2</v>
      </c>
      <c r="J799" s="11">
        <f t="shared" ca="1" si="164"/>
        <v>5</v>
      </c>
      <c r="K799" s="24">
        <v>96</v>
      </c>
      <c r="L799" s="24">
        <f t="shared" ca="1" si="165"/>
        <v>50</v>
      </c>
      <c r="M799" s="24">
        <v>400</v>
      </c>
      <c r="N799" s="24">
        <v>20</v>
      </c>
      <c r="O799" s="24">
        <f t="shared" ca="1" si="166"/>
        <v>566</v>
      </c>
      <c r="P799" s="24">
        <v>817</v>
      </c>
      <c r="Q799" s="11">
        <f t="shared" ca="1" si="167"/>
        <v>50</v>
      </c>
      <c r="R799" s="24">
        <v>200</v>
      </c>
      <c r="S799" s="24">
        <v>10</v>
      </c>
      <c r="T799" s="24">
        <f t="shared" ca="1" si="168"/>
        <v>1077</v>
      </c>
    </row>
    <row r="800" spans="1:20" x14ac:dyDescent="0.45">
      <c r="A800" s="11">
        <v>787</v>
      </c>
      <c r="B800" s="11">
        <f t="shared" ca="1" si="156"/>
        <v>0.80908290595643295</v>
      </c>
      <c r="C800" s="11">
        <f t="shared" ca="1" si="157"/>
        <v>1500</v>
      </c>
      <c r="D800" s="11">
        <f t="shared" ca="1" si="158"/>
        <v>0.60327613498059562</v>
      </c>
      <c r="E800" s="11">
        <f t="shared" ca="1" si="159"/>
        <v>1300</v>
      </c>
      <c r="F800" s="11">
        <f t="shared" ca="1" si="160"/>
        <v>0.85195148184589431</v>
      </c>
      <c r="G800" s="11">
        <f t="shared" ca="1" si="161"/>
        <v>1700</v>
      </c>
      <c r="H800" s="11">
        <f t="shared" ca="1" si="162"/>
        <v>1300</v>
      </c>
      <c r="I800" s="11">
        <f t="shared" ca="1" si="163"/>
        <v>0.62192823515934659</v>
      </c>
      <c r="J800" s="11">
        <f t="shared" ca="1" si="164"/>
        <v>10</v>
      </c>
      <c r="K800" s="24">
        <v>96</v>
      </c>
      <c r="L800" s="24">
        <f t="shared" ca="1" si="165"/>
        <v>100</v>
      </c>
      <c r="M800" s="24">
        <v>400</v>
      </c>
      <c r="N800" s="24">
        <v>20</v>
      </c>
      <c r="O800" s="24">
        <f t="shared" ca="1" si="166"/>
        <v>616</v>
      </c>
      <c r="P800" s="24">
        <v>818</v>
      </c>
      <c r="Q800" s="11">
        <f t="shared" ca="1" si="167"/>
        <v>100</v>
      </c>
      <c r="R800" s="24">
        <v>200</v>
      </c>
      <c r="S800" s="24">
        <v>10</v>
      </c>
      <c r="T800" s="24">
        <f t="shared" ca="1" si="168"/>
        <v>1128</v>
      </c>
    </row>
    <row r="801" spans="1:20" x14ac:dyDescent="0.45">
      <c r="A801" s="11">
        <v>788</v>
      </c>
      <c r="B801" s="11">
        <f t="shared" ca="1" si="156"/>
        <v>1.4188002368042074E-2</v>
      </c>
      <c r="C801" s="11">
        <f t="shared" ca="1" si="157"/>
        <v>1000</v>
      </c>
      <c r="D801" s="11">
        <f t="shared" ca="1" si="158"/>
        <v>0.72771479181048138</v>
      </c>
      <c r="E801" s="11">
        <f t="shared" ca="1" si="159"/>
        <v>1500</v>
      </c>
      <c r="F801" s="11">
        <f t="shared" ca="1" si="160"/>
        <v>0.71486607135763014</v>
      </c>
      <c r="G801" s="11">
        <f t="shared" ca="1" si="161"/>
        <v>1500</v>
      </c>
      <c r="H801" s="11">
        <f t="shared" ca="1" si="162"/>
        <v>1000</v>
      </c>
      <c r="I801" s="11">
        <f t="shared" ca="1" si="163"/>
        <v>0.24328940903507745</v>
      </c>
      <c r="J801" s="11">
        <f t="shared" ca="1" si="164"/>
        <v>5</v>
      </c>
      <c r="K801" s="24">
        <v>96</v>
      </c>
      <c r="L801" s="24">
        <f t="shared" ca="1" si="165"/>
        <v>50</v>
      </c>
      <c r="M801" s="24">
        <v>400</v>
      </c>
      <c r="N801" s="24">
        <v>20</v>
      </c>
      <c r="O801" s="24">
        <f t="shared" ca="1" si="166"/>
        <v>566</v>
      </c>
      <c r="P801" s="24">
        <v>819</v>
      </c>
      <c r="Q801" s="11">
        <f t="shared" ca="1" si="167"/>
        <v>50</v>
      </c>
      <c r="R801" s="24">
        <v>200</v>
      </c>
      <c r="S801" s="24">
        <v>10</v>
      </c>
      <c r="T801" s="24">
        <f t="shared" ca="1" si="168"/>
        <v>1079</v>
      </c>
    </row>
    <row r="802" spans="1:20" x14ac:dyDescent="0.45">
      <c r="A802" s="11">
        <v>789</v>
      </c>
      <c r="B802" s="11">
        <f t="shared" ca="1" si="156"/>
        <v>0.75214855434205685</v>
      </c>
      <c r="C802" s="11">
        <f t="shared" ca="1" si="157"/>
        <v>1500</v>
      </c>
      <c r="D802" s="11">
        <f t="shared" ca="1" si="158"/>
        <v>0.37218188435903199</v>
      </c>
      <c r="E802" s="11">
        <f t="shared" ca="1" si="159"/>
        <v>1200</v>
      </c>
      <c r="F802" s="11">
        <f t="shared" ca="1" si="160"/>
        <v>0.59372341516780414</v>
      </c>
      <c r="G802" s="11">
        <f t="shared" ca="1" si="161"/>
        <v>1300</v>
      </c>
      <c r="H802" s="11">
        <f t="shared" ca="1" si="162"/>
        <v>1200</v>
      </c>
      <c r="I802" s="11">
        <f t="shared" ca="1" si="163"/>
        <v>0.64716396732447101</v>
      </c>
      <c r="J802" s="11">
        <f t="shared" ca="1" si="164"/>
        <v>10</v>
      </c>
      <c r="K802" s="24">
        <v>96</v>
      </c>
      <c r="L802" s="24">
        <f t="shared" ca="1" si="165"/>
        <v>100</v>
      </c>
      <c r="M802" s="24">
        <v>400</v>
      </c>
      <c r="N802" s="24">
        <v>20</v>
      </c>
      <c r="O802" s="24">
        <f t="shared" ca="1" si="166"/>
        <v>616</v>
      </c>
      <c r="P802" s="24">
        <v>820</v>
      </c>
      <c r="Q802" s="11">
        <f t="shared" ca="1" si="167"/>
        <v>100</v>
      </c>
      <c r="R802" s="24">
        <v>200</v>
      </c>
      <c r="S802" s="24">
        <v>10</v>
      </c>
      <c r="T802" s="24">
        <f t="shared" ca="1" si="168"/>
        <v>1130</v>
      </c>
    </row>
    <row r="803" spans="1:20" x14ac:dyDescent="0.45">
      <c r="A803" s="11">
        <v>790</v>
      </c>
      <c r="B803" s="11">
        <f t="shared" ca="1" si="156"/>
        <v>0.25236114648409547</v>
      </c>
      <c r="C803" s="11">
        <f t="shared" ca="1" si="157"/>
        <v>1200</v>
      </c>
      <c r="D803" s="11">
        <f t="shared" ca="1" si="158"/>
        <v>0.75596692375671726</v>
      </c>
      <c r="E803" s="11">
        <f t="shared" ca="1" si="159"/>
        <v>1500</v>
      </c>
      <c r="F803" s="11">
        <f t="shared" ca="1" si="160"/>
        <v>0.67679867448509967</v>
      </c>
      <c r="G803" s="11">
        <f t="shared" ca="1" si="161"/>
        <v>1400</v>
      </c>
      <c r="H803" s="11">
        <f t="shared" ca="1" si="162"/>
        <v>1200</v>
      </c>
      <c r="I803" s="11">
        <f t="shared" ca="1" si="163"/>
        <v>0.20500797975650498</v>
      </c>
      <c r="J803" s="11">
        <f t="shared" ca="1" si="164"/>
        <v>5</v>
      </c>
      <c r="K803" s="24">
        <v>96</v>
      </c>
      <c r="L803" s="24">
        <f t="shared" ca="1" si="165"/>
        <v>50</v>
      </c>
      <c r="M803" s="24">
        <v>400</v>
      </c>
      <c r="N803" s="24">
        <v>20</v>
      </c>
      <c r="O803" s="24">
        <f t="shared" ca="1" si="166"/>
        <v>566</v>
      </c>
      <c r="P803" s="24">
        <v>821</v>
      </c>
      <c r="Q803" s="11">
        <f t="shared" ca="1" si="167"/>
        <v>50</v>
      </c>
      <c r="R803" s="24">
        <v>200</v>
      </c>
      <c r="S803" s="24">
        <v>10</v>
      </c>
      <c r="T803" s="24">
        <f t="shared" ca="1" si="168"/>
        <v>1081</v>
      </c>
    </row>
    <row r="804" spans="1:20" x14ac:dyDescent="0.45">
      <c r="A804" s="11">
        <v>791</v>
      </c>
      <c r="B804" s="11">
        <f t="shared" ca="1" si="156"/>
        <v>0.99947819007351013</v>
      </c>
      <c r="C804" s="11">
        <f t="shared" ca="1" si="157"/>
        <v>1900</v>
      </c>
      <c r="D804" s="11">
        <f t="shared" ca="1" si="158"/>
        <v>0.28823951696110561</v>
      </c>
      <c r="E804" s="11">
        <f t="shared" ca="1" si="159"/>
        <v>1200</v>
      </c>
      <c r="F804" s="11">
        <f t="shared" ca="1" si="160"/>
        <v>0.83431551438098361</v>
      </c>
      <c r="G804" s="11">
        <f t="shared" ca="1" si="161"/>
        <v>1600</v>
      </c>
      <c r="H804" s="11">
        <f t="shared" ca="1" si="162"/>
        <v>1200</v>
      </c>
      <c r="I804" s="11">
        <f t="shared" ca="1" si="163"/>
        <v>0.74274179050477496</v>
      </c>
      <c r="J804" s="11">
        <f t="shared" ca="1" si="164"/>
        <v>10</v>
      </c>
      <c r="K804" s="24">
        <v>96</v>
      </c>
      <c r="L804" s="24">
        <f t="shared" ca="1" si="165"/>
        <v>100</v>
      </c>
      <c r="M804" s="24">
        <v>400</v>
      </c>
      <c r="N804" s="24">
        <v>20</v>
      </c>
      <c r="O804" s="24">
        <f t="shared" ca="1" si="166"/>
        <v>616</v>
      </c>
      <c r="P804" s="24">
        <v>822</v>
      </c>
      <c r="Q804" s="11">
        <f t="shared" ca="1" si="167"/>
        <v>100</v>
      </c>
      <c r="R804" s="24">
        <v>200</v>
      </c>
      <c r="S804" s="24">
        <v>10</v>
      </c>
      <c r="T804" s="24">
        <f t="shared" ca="1" si="168"/>
        <v>1132</v>
      </c>
    </row>
    <row r="805" spans="1:20" x14ac:dyDescent="0.45">
      <c r="A805" s="11">
        <v>792</v>
      </c>
      <c r="B805" s="11">
        <f t="shared" ca="1" si="156"/>
        <v>0.6168943219456271</v>
      </c>
      <c r="C805" s="11">
        <f t="shared" ca="1" si="157"/>
        <v>1400</v>
      </c>
      <c r="D805" s="11">
        <f t="shared" ca="1" si="158"/>
        <v>0.74481715544359262</v>
      </c>
      <c r="E805" s="11">
        <f t="shared" ca="1" si="159"/>
        <v>1500</v>
      </c>
      <c r="F805" s="11">
        <f t="shared" ca="1" si="160"/>
        <v>0.21915998932814462</v>
      </c>
      <c r="G805" s="11">
        <f t="shared" ca="1" si="161"/>
        <v>1100</v>
      </c>
      <c r="H805" s="11">
        <f t="shared" ca="1" si="162"/>
        <v>1100</v>
      </c>
      <c r="I805" s="11">
        <f t="shared" ca="1" si="163"/>
        <v>0.23231736796598335</v>
      </c>
      <c r="J805" s="11">
        <f t="shared" ca="1" si="164"/>
        <v>5</v>
      </c>
      <c r="K805" s="24">
        <v>96</v>
      </c>
      <c r="L805" s="24">
        <f t="shared" ca="1" si="165"/>
        <v>50</v>
      </c>
      <c r="M805" s="24">
        <v>400</v>
      </c>
      <c r="N805" s="24">
        <v>20</v>
      </c>
      <c r="O805" s="24">
        <f t="shared" ca="1" si="166"/>
        <v>566</v>
      </c>
      <c r="P805" s="24">
        <v>823</v>
      </c>
      <c r="Q805" s="11">
        <f t="shared" ca="1" si="167"/>
        <v>50</v>
      </c>
      <c r="R805" s="24">
        <v>200</v>
      </c>
      <c r="S805" s="24">
        <v>10</v>
      </c>
      <c r="T805" s="24">
        <f t="shared" ca="1" si="168"/>
        <v>1083</v>
      </c>
    </row>
    <row r="806" spans="1:20" x14ac:dyDescent="0.45">
      <c r="A806" s="11">
        <v>793</v>
      </c>
      <c r="B806" s="11">
        <f t="shared" ca="1" si="156"/>
        <v>0.90179963660635087</v>
      </c>
      <c r="C806" s="11">
        <f t="shared" ca="1" si="157"/>
        <v>1800</v>
      </c>
      <c r="D806" s="11">
        <f t="shared" ca="1" si="158"/>
        <v>0.94340501109858177</v>
      </c>
      <c r="E806" s="11">
        <f t="shared" ca="1" si="159"/>
        <v>1800</v>
      </c>
      <c r="F806" s="11">
        <f t="shared" ca="1" si="160"/>
        <v>0.69463079989484167</v>
      </c>
      <c r="G806" s="11">
        <f t="shared" ca="1" si="161"/>
        <v>1400</v>
      </c>
      <c r="H806" s="11">
        <f t="shared" ca="1" si="162"/>
        <v>1400</v>
      </c>
      <c r="I806" s="11">
        <f t="shared" ca="1" si="163"/>
        <v>0.73838373791079071</v>
      </c>
      <c r="J806" s="11">
        <f t="shared" ca="1" si="164"/>
        <v>10</v>
      </c>
      <c r="K806" s="24">
        <v>96</v>
      </c>
      <c r="L806" s="24">
        <f t="shared" ca="1" si="165"/>
        <v>100</v>
      </c>
      <c r="M806" s="24">
        <v>400</v>
      </c>
      <c r="N806" s="24">
        <v>20</v>
      </c>
      <c r="O806" s="24">
        <f t="shared" ca="1" si="166"/>
        <v>616</v>
      </c>
      <c r="P806" s="24">
        <v>824</v>
      </c>
      <c r="Q806" s="11">
        <f t="shared" ca="1" si="167"/>
        <v>100</v>
      </c>
      <c r="R806" s="24">
        <v>200</v>
      </c>
      <c r="S806" s="24">
        <v>10</v>
      </c>
      <c r="T806" s="24">
        <f t="shared" ca="1" si="168"/>
        <v>1134</v>
      </c>
    </row>
    <row r="807" spans="1:20" x14ac:dyDescent="0.45">
      <c r="A807" s="11">
        <v>794</v>
      </c>
      <c r="B807" s="11">
        <f t="shared" ca="1" si="156"/>
        <v>0.54933467364723743</v>
      </c>
      <c r="C807" s="11">
        <f t="shared" ca="1" si="157"/>
        <v>1300</v>
      </c>
      <c r="D807" s="11">
        <f t="shared" ca="1" si="158"/>
        <v>0.59954143070987775</v>
      </c>
      <c r="E807" s="11">
        <f t="shared" ca="1" si="159"/>
        <v>1300</v>
      </c>
      <c r="F807" s="11">
        <f t="shared" ca="1" si="160"/>
        <v>0.7295333307819365</v>
      </c>
      <c r="G807" s="11">
        <f t="shared" ca="1" si="161"/>
        <v>1500</v>
      </c>
      <c r="H807" s="11">
        <f t="shared" ca="1" si="162"/>
        <v>1300</v>
      </c>
      <c r="I807" s="11">
        <f t="shared" ca="1" si="163"/>
        <v>0.27181884118943589</v>
      </c>
      <c r="J807" s="11">
        <f t="shared" ca="1" si="164"/>
        <v>5</v>
      </c>
      <c r="K807" s="24">
        <v>96</v>
      </c>
      <c r="L807" s="24">
        <f t="shared" ca="1" si="165"/>
        <v>50</v>
      </c>
      <c r="M807" s="24">
        <v>400</v>
      </c>
      <c r="N807" s="24">
        <v>20</v>
      </c>
      <c r="O807" s="24">
        <f t="shared" ca="1" si="166"/>
        <v>566</v>
      </c>
      <c r="P807" s="24">
        <v>825</v>
      </c>
      <c r="Q807" s="11">
        <f t="shared" ca="1" si="167"/>
        <v>50</v>
      </c>
      <c r="R807" s="24">
        <v>200</v>
      </c>
      <c r="S807" s="24">
        <v>10</v>
      </c>
      <c r="T807" s="24">
        <f t="shared" ca="1" si="168"/>
        <v>1085</v>
      </c>
    </row>
    <row r="808" spans="1:20" x14ac:dyDescent="0.45">
      <c r="A808" s="11">
        <v>795</v>
      </c>
      <c r="B808" s="11">
        <f t="shared" ca="1" si="156"/>
        <v>0.39708485469906341</v>
      </c>
      <c r="C808" s="11">
        <f t="shared" ca="1" si="157"/>
        <v>1200</v>
      </c>
      <c r="D808" s="11">
        <f t="shared" ca="1" si="158"/>
        <v>6.9954685410795747E-2</v>
      </c>
      <c r="E808" s="11">
        <f t="shared" ca="1" si="159"/>
        <v>1000</v>
      </c>
      <c r="F808" s="11">
        <f t="shared" ca="1" si="160"/>
        <v>0.39241264483458504</v>
      </c>
      <c r="G808" s="11">
        <f t="shared" ca="1" si="161"/>
        <v>1200</v>
      </c>
      <c r="H808" s="11">
        <f t="shared" ca="1" si="162"/>
        <v>1000</v>
      </c>
      <c r="I808" s="11">
        <f t="shared" ca="1" si="163"/>
        <v>0.62134623588102911</v>
      </c>
      <c r="J808" s="11">
        <f t="shared" ca="1" si="164"/>
        <v>10</v>
      </c>
      <c r="K808" s="24">
        <v>96</v>
      </c>
      <c r="L808" s="24">
        <f t="shared" ca="1" si="165"/>
        <v>100</v>
      </c>
      <c r="M808" s="24">
        <v>400</v>
      </c>
      <c r="N808" s="24">
        <v>20</v>
      </c>
      <c r="O808" s="24">
        <f t="shared" ca="1" si="166"/>
        <v>616</v>
      </c>
      <c r="P808" s="24">
        <v>826</v>
      </c>
      <c r="Q808" s="11">
        <f t="shared" ca="1" si="167"/>
        <v>100</v>
      </c>
      <c r="R808" s="24">
        <v>200</v>
      </c>
      <c r="S808" s="24">
        <v>10</v>
      </c>
      <c r="T808" s="24">
        <f t="shared" ca="1" si="168"/>
        <v>1136</v>
      </c>
    </row>
    <row r="809" spans="1:20" x14ac:dyDescent="0.45">
      <c r="A809" s="11">
        <v>796</v>
      </c>
      <c r="B809" s="11">
        <f t="shared" ca="1" si="156"/>
        <v>0.19945648363329327</v>
      </c>
      <c r="C809" s="11">
        <f t="shared" ca="1" si="157"/>
        <v>1100</v>
      </c>
      <c r="D809" s="11">
        <f t="shared" ca="1" si="158"/>
        <v>0.26171444097364216</v>
      </c>
      <c r="E809" s="11">
        <f t="shared" ca="1" si="159"/>
        <v>1200</v>
      </c>
      <c r="F809" s="11">
        <f t="shared" ca="1" si="160"/>
        <v>0.37946974474526207</v>
      </c>
      <c r="G809" s="11">
        <f t="shared" ca="1" si="161"/>
        <v>1200</v>
      </c>
      <c r="H809" s="11">
        <f t="shared" ca="1" si="162"/>
        <v>1100</v>
      </c>
      <c r="I809" s="11">
        <f t="shared" ca="1" si="163"/>
        <v>3.1826249583383204E-3</v>
      </c>
      <c r="J809" s="11">
        <f t="shared" ca="1" si="164"/>
        <v>5</v>
      </c>
      <c r="K809" s="24">
        <v>96</v>
      </c>
      <c r="L809" s="24">
        <f t="shared" ca="1" si="165"/>
        <v>50</v>
      </c>
      <c r="M809" s="24">
        <v>400</v>
      </c>
      <c r="N809" s="24">
        <v>20</v>
      </c>
      <c r="O809" s="24">
        <f t="shared" ca="1" si="166"/>
        <v>566</v>
      </c>
      <c r="P809" s="24">
        <v>827</v>
      </c>
      <c r="Q809" s="11">
        <f t="shared" ca="1" si="167"/>
        <v>50</v>
      </c>
      <c r="R809" s="24">
        <v>200</v>
      </c>
      <c r="S809" s="24">
        <v>10</v>
      </c>
      <c r="T809" s="24">
        <f t="shared" ca="1" si="168"/>
        <v>1087</v>
      </c>
    </row>
    <row r="810" spans="1:20" x14ac:dyDescent="0.45">
      <c r="A810" s="11">
        <v>797</v>
      </c>
      <c r="B810" s="11">
        <f t="shared" ca="1" si="156"/>
        <v>0.62451003100820679</v>
      </c>
      <c r="C810" s="11">
        <f t="shared" ca="1" si="157"/>
        <v>1400</v>
      </c>
      <c r="D810" s="11">
        <f t="shared" ca="1" si="158"/>
        <v>4.1108325700967341E-2</v>
      </c>
      <c r="E810" s="11">
        <f t="shared" ca="1" si="159"/>
        <v>1000</v>
      </c>
      <c r="F810" s="11">
        <f t="shared" ca="1" si="160"/>
        <v>0.80881286967000887</v>
      </c>
      <c r="G810" s="11">
        <f t="shared" ca="1" si="161"/>
        <v>1500</v>
      </c>
      <c r="H810" s="11">
        <f t="shared" ca="1" si="162"/>
        <v>1000</v>
      </c>
      <c r="I810" s="11">
        <f t="shared" ca="1" si="163"/>
        <v>0.37583071374023724</v>
      </c>
      <c r="J810" s="11">
        <f t="shared" ca="1" si="164"/>
        <v>5</v>
      </c>
      <c r="K810" s="24">
        <v>96</v>
      </c>
      <c r="L810" s="24">
        <f t="shared" ca="1" si="165"/>
        <v>50</v>
      </c>
      <c r="M810" s="24">
        <v>400</v>
      </c>
      <c r="N810" s="24">
        <v>20</v>
      </c>
      <c r="O810" s="24">
        <f t="shared" ca="1" si="166"/>
        <v>566</v>
      </c>
      <c r="P810" s="24">
        <v>828</v>
      </c>
      <c r="Q810" s="11">
        <f t="shared" ca="1" si="167"/>
        <v>50</v>
      </c>
      <c r="R810" s="24">
        <v>200</v>
      </c>
      <c r="S810" s="24">
        <v>10</v>
      </c>
      <c r="T810" s="24">
        <f t="shared" ca="1" si="168"/>
        <v>1088</v>
      </c>
    </row>
    <row r="811" spans="1:20" x14ac:dyDescent="0.45">
      <c r="A811" s="11">
        <v>798</v>
      </c>
      <c r="B811" s="11">
        <f t="shared" ca="1" si="156"/>
        <v>0.21512981062108871</v>
      </c>
      <c r="C811" s="11">
        <f t="shared" ca="1" si="157"/>
        <v>1100</v>
      </c>
      <c r="D811" s="11">
        <f t="shared" ca="1" si="158"/>
        <v>4.3437519374973421E-2</v>
      </c>
      <c r="E811" s="11">
        <f t="shared" ca="1" si="159"/>
        <v>1000</v>
      </c>
      <c r="F811" s="11">
        <f t="shared" ca="1" si="160"/>
        <v>0.41864066332228245</v>
      </c>
      <c r="G811" s="11">
        <f t="shared" ca="1" si="161"/>
        <v>1200</v>
      </c>
      <c r="H811" s="11">
        <f t="shared" ca="1" si="162"/>
        <v>1000</v>
      </c>
      <c r="I811" s="11">
        <f t="shared" ca="1" si="163"/>
        <v>0.4983716910350201</v>
      </c>
      <c r="J811" s="11">
        <f t="shared" ca="1" si="164"/>
        <v>5</v>
      </c>
      <c r="K811" s="24">
        <v>96</v>
      </c>
      <c r="L811" s="24">
        <f t="shared" ca="1" si="165"/>
        <v>50</v>
      </c>
      <c r="M811" s="24">
        <v>400</v>
      </c>
      <c r="N811" s="24">
        <v>20</v>
      </c>
      <c r="O811" s="24">
        <f t="shared" ca="1" si="166"/>
        <v>566</v>
      </c>
      <c r="P811" s="24">
        <v>829</v>
      </c>
      <c r="Q811" s="11">
        <f t="shared" ca="1" si="167"/>
        <v>50</v>
      </c>
      <c r="R811" s="24">
        <v>200</v>
      </c>
      <c r="S811" s="24">
        <v>10</v>
      </c>
      <c r="T811" s="24">
        <f t="shared" ca="1" si="168"/>
        <v>1089</v>
      </c>
    </row>
    <row r="812" spans="1:20" x14ac:dyDescent="0.45">
      <c r="A812" s="11">
        <v>799</v>
      </c>
      <c r="B812" s="11">
        <f t="shared" ca="1" si="156"/>
        <v>0.97067732222343472</v>
      </c>
      <c r="C812" s="11">
        <f t="shared" ca="1" si="157"/>
        <v>1900</v>
      </c>
      <c r="D812" s="11">
        <f t="shared" ca="1" si="158"/>
        <v>3.9382907182201832E-2</v>
      </c>
      <c r="E812" s="11">
        <f t="shared" ca="1" si="159"/>
        <v>1000</v>
      </c>
      <c r="F812" s="11">
        <f t="shared" ca="1" si="160"/>
        <v>0.54298152580890091</v>
      </c>
      <c r="G812" s="11">
        <f t="shared" ca="1" si="161"/>
        <v>1300</v>
      </c>
      <c r="H812" s="11">
        <f t="shared" ca="1" si="162"/>
        <v>1000</v>
      </c>
      <c r="I812" s="11">
        <f t="shared" ca="1" si="163"/>
        <v>0.20510039277384795</v>
      </c>
      <c r="J812" s="11">
        <f t="shared" ca="1" si="164"/>
        <v>5</v>
      </c>
      <c r="K812" s="24">
        <v>96</v>
      </c>
      <c r="L812" s="24">
        <f t="shared" ca="1" si="165"/>
        <v>50</v>
      </c>
      <c r="M812" s="24">
        <v>400</v>
      </c>
      <c r="N812" s="24">
        <v>20</v>
      </c>
      <c r="O812" s="24">
        <f t="shared" ca="1" si="166"/>
        <v>566</v>
      </c>
      <c r="P812" s="24">
        <v>830</v>
      </c>
      <c r="Q812" s="11">
        <f t="shared" ca="1" si="167"/>
        <v>50</v>
      </c>
      <c r="R812" s="24">
        <v>200</v>
      </c>
      <c r="S812" s="24">
        <v>10</v>
      </c>
      <c r="T812" s="24">
        <f t="shared" ca="1" si="168"/>
        <v>1090</v>
      </c>
    </row>
    <row r="813" spans="1:20" x14ac:dyDescent="0.45">
      <c r="A813" s="11">
        <v>800</v>
      </c>
      <c r="B813" s="11">
        <f t="shared" ca="1" si="156"/>
        <v>0.41023972979456336</v>
      </c>
      <c r="C813" s="11">
        <f t="shared" ca="1" si="157"/>
        <v>1200</v>
      </c>
      <c r="D813" s="11">
        <f t="shared" ca="1" si="158"/>
        <v>0.84237339079147788</v>
      </c>
      <c r="E813" s="11">
        <f t="shared" ca="1" si="159"/>
        <v>1700</v>
      </c>
      <c r="F813" s="11">
        <f t="shared" ca="1" si="160"/>
        <v>0.92355195643658006</v>
      </c>
      <c r="G813" s="11">
        <f t="shared" ca="1" si="161"/>
        <v>1800</v>
      </c>
      <c r="H813" s="11">
        <f t="shared" ca="1" si="162"/>
        <v>1200</v>
      </c>
      <c r="I813" s="11">
        <f t="shared" ca="1" si="163"/>
        <v>0.86110000290886479</v>
      </c>
      <c r="J813" s="11">
        <f t="shared" ca="1" si="164"/>
        <v>10</v>
      </c>
      <c r="K813" s="24">
        <v>96</v>
      </c>
      <c r="L813" s="24">
        <f t="shared" ca="1" si="165"/>
        <v>100</v>
      </c>
      <c r="M813" s="24">
        <v>400</v>
      </c>
      <c r="N813" s="24">
        <v>20</v>
      </c>
      <c r="O813" s="24">
        <f t="shared" ca="1" si="166"/>
        <v>616</v>
      </c>
      <c r="P813" s="24">
        <v>831</v>
      </c>
      <c r="Q813" s="11">
        <f t="shared" ca="1" si="167"/>
        <v>100</v>
      </c>
      <c r="R813" s="24">
        <v>200</v>
      </c>
      <c r="S813" s="24">
        <v>10</v>
      </c>
      <c r="T813" s="24">
        <f t="shared" ca="1" si="168"/>
        <v>1141</v>
      </c>
    </row>
    <row r="814" spans="1:20" x14ac:dyDescent="0.45">
      <c r="A814" s="11">
        <v>801</v>
      </c>
      <c r="B814" s="11">
        <f t="shared" ca="1" si="156"/>
        <v>0.2425800235635035</v>
      </c>
      <c r="C814" s="11">
        <f t="shared" ca="1" si="157"/>
        <v>1200</v>
      </c>
      <c r="D814" s="11">
        <f t="shared" ca="1" si="158"/>
        <v>0.67995573971494039</v>
      </c>
      <c r="E814" s="11">
        <f t="shared" ca="1" si="159"/>
        <v>1400</v>
      </c>
      <c r="F814" s="11">
        <f t="shared" ca="1" si="160"/>
        <v>0.97413764204051778</v>
      </c>
      <c r="G814" s="11">
        <f t="shared" ca="1" si="161"/>
        <v>1900</v>
      </c>
      <c r="H814" s="11">
        <f t="shared" ca="1" si="162"/>
        <v>1200</v>
      </c>
      <c r="I814" s="11">
        <f t="shared" ca="1" si="163"/>
        <v>0.15937304616450187</v>
      </c>
      <c r="J814" s="11">
        <f t="shared" ca="1" si="164"/>
        <v>5</v>
      </c>
      <c r="K814" s="24">
        <v>96</v>
      </c>
      <c r="L814" s="24">
        <f t="shared" ca="1" si="165"/>
        <v>50</v>
      </c>
      <c r="M814" s="24">
        <v>400</v>
      </c>
      <c r="N814" s="24">
        <v>20</v>
      </c>
      <c r="O814" s="24">
        <f t="shared" ca="1" si="166"/>
        <v>566</v>
      </c>
      <c r="P814" s="24">
        <v>832</v>
      </c>
      <c r="Q814" s="11">
        <f t="shared" ca="1" si="167"/>
        <v>50</v>
      </c>
      <c r="R814" s="24">
        <v>200</v>
      </c>
      <c r="S814" s="24">
        <v>10</v>
      </c>
      <c r="T814" s="24">
        <f t="shared" ca="1" si="168"/>
        <v>1092</v>
      </c>
    </row>
    <row r="815" spans="1:20" x14ac:dyDescent="0.45">
      <c r="A815" s="11">
        <v>802</v>
      </c>
      <c r="B815" s="11">
        <f t="shared" ca="1" si="156"/>
        <v>0.29008563885832561</v>
      </c>
      <c r="C815" s="11">
        <f t="shared" ca="1" si="157"/>
        <v>1200</v>
      </c>
      <c r="D815" s="11">
        <f t="shared" ca="1" si="158"/>
        <v>0.58199381909215087</v>
      </c>
      <c r="E815" s="11">
        <f t="shared" ca="1" si="159"/>
        <v>1300</v>
      </c>
      <c r="F815" s="11">
        <f t="shared" ca="1" si="160"/>
        <v>0.48373685427220092</v>
      </c>
      <c r="G815" s="11">
        <f t="shared" ca="1" si="161"/>
        <v>1300</v>
      </c>
      <c r="H815" s="11">
        <f t="shared" ca="1" si="162"/>
        <v>1200</v>
      </c>
      <c r="I815" s="11">
        <f t="shared" ca="1" si="163"/>
        <v>0.35224481235553895</v>
      </c>
      <c r="J815" s="11">
        <f t="shared" ca="1" si="164"/>
        <v>5</v>
      </c>
      <c r="K815" s="24">
        <v>96</v>
      </c>
      <c r="L815" s="24">
        <f t="shared" ca="1" si="165"/>
        <v>50</v>
      </c>
      <c r="M815" s="24">
        <v>400</v>
      </c>
      <c r="N815" s="24">
        <v>20</v>
      </c>
      <c r="O815" s="24">
        <f t="shared" ca="1" si="166"/>
        <v>566</v>
      </c>
      <c r="P815" s="24">
        <v>833</v>
      </c>
      <c r="Q815" s="11">
        <f t="shared" ca="1" si="167"/>
        <v>50</v>
      </c>
      <c r="R815" s="24">
        <v>200</v>
      </c>
      <c r="S815" s="24">
        <v>10</v>
      </c>
      <c r="T815" s="24">
        <f t="shared" ca="1" si="168"/>
        <v>1093</v>
      </c>
    </row>
    <row r="816" spans="1:20" x14ac:dyDescent="0.45">
      <c r="A816" s="11">
        <v>803</v>
      </c>
      <c r="B816" s="11">
        <f t="shared" ca="1" si="156"/>
        <v>0.65814164429133548</v>
      </c>
      <c r="C816" s="11">
        <f t="shared" ca="1" si="157"/>
        <v>1400</v>
      </c>
      <c r="D816" s="11">
        <f t="shared" ca="1" si="158"/>
        <v>0.35627818301179348</v>
      </c>
      <c r="E816" s="11">
        <f t="shared" ca="1" si="159"/>
        <v>1200</v>
      </c>
      <c r="F816" s="11">
        <f t="shared" ca="1" si="160"/>
        <v>0.72128350526909213</v>
      </c>
      <c r="G816" s="11">
        <f t="shared" ca="1" si="161"/>
        <v>1500</v>
      </c>
      <c r="H816" s="11">
        <f t="shared" ca="1" si="162"/>
        <v>1200</v>
      </c>
      <c r="I816" s="11">
        <f t="shared" ca="1" si="163"/>
        <v>0.6864683293898407</v>
      </c>
      <c r="J816" s="11">
        <f t="shared" ca="1" si="164"/>
        <v>10</v>
      </c>
      <c r="K816" s="24">
        <v>96</v>
      </c>
      <c r="L816" s="24">
        <f t="shared" ca="1" si="165"/>
        <v>100</v>
      </c>
      <c r="M816" s="24">
        <v>400</v>
      </c>
      <c r="N816" s="24">
        <v>20</v>
      </c>
      <c r="O816" s="24">
        <f t="shared" ca="1" si="166"/>
        <v>616</v>
      </c>
      <c r="P816" s="24">
        <v>834</v>
      </c>
      <c r="Q816" s="11">
        <f t="shared" ca="1" si="167"/>
        <v>100</v>
      </c>
      <c r="R816" s="24">
        <v>200</v>
      </c>
      <c r="S816" s="24">
        <v>10</v>
      </c>
      <c r="T816" s="24">
        <f t="shared" ca="1" si="168"/>
        <v>1144</v>
      </c>
    </row>
    <row r="817" spans="1:20" x14ac:dyDescent="0.45">
      <c r="A817" s="11">
        <v>804</v>
      </c>
      <c r="B817" s="11">
        <f t="shared" ca="1" si="156"/>
        <v>0.46607383448959094</v>
      </c>
      <c r="C817" s="11">
        <f t="shared" ca="1" si="157"/>
        <v>1200</v>
      </c>
      <c r="D817" s="11">
        <f t="shared" ca="1" si="158"/>
        <v>0.70225558879352201</v>
      </c>
      <c r="E817" s="11">
        <f t="shared" ca="1" si="159"/>
        <v>1500</v>
      </c>
      <c r="F817" s="11">
        <f t="shared" ca="1" si="160"/>
        <v>0.98400065235315504</v>
      </c>
      <c r="G817" s="11">
        <f t="shared" ca="1" si="161"/>
        <v>1900</v>
      </c>
      <c r="H817" s="11">
        <f t="shared" ca="1" si="162"/>
        <v>1200</v>
      </c>
      <c r="I817" s="11">
        <f t="shared" ca="1" si="163"/>
        <v>0.50437255856653407</v>
      </c>
      <c r="J817" s="11">
        <f t="shared" ca="1" si="164"/>
        <v>5</v>
      </c>
      <c r="K817" s="24">
        <v>96</v>
      </c>
      <c r="L817" s="24">
        <f t="shared" ca="1" si="165"/>
        <v>50</v>
      </c>
      <c r="M817" s="24">
        <v>400</v>
      </c>
      <c r="N817" s="24">
        <v>20</v>
      </c>
      <c r="O817" s="24">
        <f t="shared" ca="1" si="166"/>
        <v>566</v>
      </c>
      <c r="P817" s="24">
        <v>835</v>
      </c>
      <c r="Q817" s="11">
        <f t="shared" ca="1" si="167"/>
        <v>50</v>
      </c>
      <c r="R817" s="24">
        <v>200</v>
      </c>
      <c r="S817" s="24">
        <v>10</v>
      </c>
      <c r="T817" s="24">
        <f t="shared" ca="1" si="168"/>
        <v>1095</v>
      </c>
    </row>
    <row r="818" spans="1:20" x14ac:dyDescent="0.45">
      <c r="A818" s="11">
        <v>805</v>
      </c>
      <c r="B818" s="11">
        <f t="shared" ca="1" si="156"/>
        <v>0.50386897651881923</v>
      </c>
      <c r="C818" s="11">
        <f t="shared" ca="1" si="157"/>
        <v>1300</v>
      </c>
      <c r="D818" s="11">
        <f t="shared" ca="1" si="158"/>
        <v>0.95467393731298122</v>
      </c>
      <c r="E818" s="11">
        <f t="shared" ca="1" si="159"/>
        <v>1900</v>
      </c>
      <c r="F818" s="11">
        <f t="shared" ca="1" si="160"/>
        <v>0.79914867580395788</v>
      </c>
      <c r="G818" s="11">
        <f t="shared" ca="1" si="161"/>
        <v>1500</v>
      </c>
      <c r="H818" s="11">
        <f t="shared" ca="1" si="162"/>
        <v>1300</v>
      </c>
      <c r="I818" s="11">
        <f t="shared" ca="1" si="163"/>
        <v>0.41006778299371194</v>
      </c>
      <c r="J818" s="11">
        <f t="shared" ca="1" si="164"/>
        <v>5</v>
      </c>
      <c r="K818" s="24">
        <v>96</v>
      </c>
      <c r="L818" s="24">
        <f t="shared" ca="1" si="165"/>
        <v>50</v>
      </c>
      <c r="M818" s="24">
        <v>400</v>
      </c>
      <c r="N818" s="24">
        <v>20</v>
      </c>
      <c r="O818" s="24">
        <f t="shared" ca="1" si="166"/>
        <v>566</v>
      </c>
      <c r="P818" s="24">
        <v>836</v>
      </c>
      <c r="Q818" s="11">
        <f t="shared" ca="1" si="167"/>
        <v>50</v>
      </c>
      <c r="R818" s="24">
        <v>200</v>
      </c>
      <c r="S818" s="24">
        <v>10</v>
      </c>
      <c r="T818" s="24">
        <f t="shared" ca="1" si="168"/>
        <v>1096</v>
      </c>
    </row>
    <row r="819" spans="1:20" x14ac:dyDescent="0.45">
      <c r="A819" s="11">
        <v>806</v>
      </c>
      <c r="B819" s="11">
        <f t="shared" ca="1" si="156"/>
        <v>0.98821421317532243</v>
      </c>
      <c r="C819" s="11">
        <f t="shared" ca="1" si="157"/>
        <v>1900</v>
      </c>
      <c r="D819" s="11">
        <f t="shared" ca="1" si="158"/>
        <v>0.36862719794443366</v>
      </c>
      <c r="E819" s="11">
        <f t="shared" ca="1" si="159"/>
        <v>1200</v>
      </c>
      <c r="F819" s="11">
        <f t="shared" ca="1" si="160"/>
        <v>0.2760535373121844</v>
      </c>
      <c r="G819" s="11">
        <f t="shared" ca="1" si="161"/>
        <v>1200</v>
      </c>
      <c r="H819" s="11">
        <f t="shared" ca="1" si="162"/>
        <v>1200</v>
      </c>
      <c r="I819" s="11">
        <f t="shared" ca="1" si="163"/>
        <v>0.75940373598882249</v>
      </c>
      <c r="J819" s="11">
        <f t="shared" ca="1" si="164"/>
        <v>10</v>
      </c>
      <c r="K819" s="24">
        <v>96</v>
      </c>
      <c r="L819" s="24">
        <f t="shared" ca="1" si="165"/>
        <v>100</v>
      </c>
      <c r="M819" s="24">
        <v>400</v>
      </c>
      <c r="N819" s="24">
        <v>20</v>
      </c>
      <c r="O819" s="24">
        <f t="shared" ca="1" si="166"/>
        <v>616</v>
      </c>
      <c r="P819" s="24">
        <v>837</v>
      </c>
      <c r="Q819" s="11">
        <f t="shared" ca="1" si="167"/>
        <v>100</v>
      </c>
      <c r="R819" s="24">
        <v>200</v>
      </c>
      <c r="S819" s="24">
        <v>10</v>
      </c>
      <c r="T819" s="24">
        <f t="shared" ca="1" si="168"/>
        <v>1147</v>
      </c>
    </row>
    <row r="820" spans="1:20" x14ac:dyDescent="0.45">
      <c r="A820" s="11">
        <v>807</v>
      </c>
      <c r="B820" s="11">
        <f t="shared" ca="1" si="156"/>
        <v>0.50915667374862494</v>
      </c>
      <c r="C820" s="11">
        <f t="shared" ca="1" si="157"/>
        <v>1300</v>
      </c>
      <c r="D820" s="11">
        <f t="shared" ca="1" si="158"/>
        <v>0.45585190381024487</v>
      </c>
      <c r="E820" s="11">
        <f t="shared" ca="1" si="159"/>
        <v>1200</v>
      </c>
      <c r="F820" s="11">
        <f t="shared" ca="1" si="160"/>
        <v>0.43513400730509244</v>
      </c>
      <c r="G820" s="11">
        <f t="shared" ca="1" si="161"/>
        <v>1200</v>
      </c>
      <c r="H820" s="11">
        <f t="shared" ca="1" si="162"/>
        <v>1200</v>
      </c>
      <c r="I820" s="11">
        <f t="shared" ca="1" si="163"/>
        <v>0.93371389574989316</v>
      </c>
      <c r="J820" s="11">
        <f t="shared" ca="1" si="164"/>
        <v>15</v>
      </c>
      <c r="K820" s="24">
        <v>96</v>
      </c>
      <c r="L820" s="24">
        <f t="shared" ca="1" si="165"/>
        <v>150</v>
      </c>
      <c r="M820" s="24">
        <v>400</v>
      </c>
      <c r="N820" s="24">
        <v>20</v>
      </c>
      <c r="O820" s="24">
        <f t="shared" ca="1" si="166"/>
        <v>666</v>
      </c>
      <c r="P820" s="24">
        <v>838</v>
      </c>
      <c r="Q820" s="11">
        <f t="shared" ca="1" si="167"/>
        <v>150</v>
      </c>
      <c r="R820" s="24">
        <v>200</v>
      </c>
      <c r="S820" s="24">
        <v>10</v>
      </c>
      <c r="T820" s="24">
        <f t="shared" ca="1" si="168"/>
        <v>1198</v>
      </c>
    </row>
    <row r="821" spans="1:20" x14ac:dyDescent="0.45">
      <c r="A821" s="11">
        <v>808</v>
      </c>
      <c r="B821" s="11">
        <f t="shared" ca="1" si="156"/>
        <v>0.5530664611869508</v>
      </c>
      <c r="C821" s="11">
        <f t="shared" ca="1" si="157"/>
        <v>1300</v>
      </c>
      <c r="D821" s="11">
        <f t="shared" ca="1" si="158"/>
        <v>0.87688052345344836</v>
      </c>
      <c r="E821" s="11">
        <f t="shared" ca="1" si="159"/>
        <v>1700</v>
      </c>
      <c r="F821" s="11">
        <f t="shared" ca="1" si="160"/>
        <v>0.18029038139183828</v>
      </c>
      <c r="G821" s="11">
        <f t="shared" ca="1" si="161"/>
        <v>1100</v>
      </c>
      <c r="H821" s="11">
        <f t="shared" ca="1" si="162"/>
        <v>1100</v>
      </c>
      <c r="I821" s="11">
        <f t="shared" ca="1" si="163"/>
        <v>0.7199866833780264</v>
      </c>
      <c r="J821" s="11">
        <f t="shared" ca="1" si="164"/>
        <v>10</v>
      </c>
      <c r="K821" s="24">
        <v>96</v>
      </c>
      <c r="L821" s="24">
        <f t="shared" ca="1" si="165"/>
        <v>100</v>
      </c>
      <c r="M821" s="24">
        <v>400</v>
      </c>
      <c r="N821" s="24">
        <v>20</v>
      </c>
      <c r="O821" s="24">
        <f t="shared" ca="1" si="166"/>
        <v>616</v>
      </c>
      <c r="P821" s="24">
        <v>839</v>
      </c>
      <c r="Q821" s="11">
        <f t="shared" ca="1" si="167"/>
        <v>100</v>
      </c>
      <c r="R821" s="24">
        <v>200</v>
      </c>
      <c r="S821" s="24">
        <v>10</v>
      </c>
      <c r="T821" s="24">
        <f t="shared" ca="1" si="168"/>
        <v>1149</v>
      </c>
    </row>
    <row r="822" spans="1:20" x14ac:dyDescent="0.45">
      <c r="A822" s="11">
        <v>809</v>
      </c>
      <c r="B822" s="11">
        <f t="shared" ca="1" si="156"/>
        <v>0.6171453452942659</v>
      </c>
      <c r="C822" s="11">
        <f t="shared" ca="1" si="157"/>
        <v>1400</v>
      </c>
      <c r="D822" s="11">
        <f t="shared" ca="1" si="158"/>
        <v>0.77289899728484912</v>
      </c>
      <c r="E822" s="11">
        <f t="shared" ca="1" si="159"/>
        <v>1500</v>
      </c>
      <c r="F822" s="11">
        <f t="shared" ca="1" si="160"/>
        <v>0.7325410634387457</v>
      </c>
      <c r="G822" s="11">
        <f t="shared" ca="1" si="161"/>
        <v>1500</v>
      </c>
      <c r="H822" s="11">
        <f t="shared" ca="1" si="162"/>
        <v>1400</v>
      </c>
      <c r="I822" s="11">
        <f t="shared" ca="1" si="163"/>
        <v>2.0837282501684262E-2</v>
      </c>
      <c r="J822" s="11">
        <f t="shared" ca="1" si="164"/>
        <v>5</v>
      </c>
      <c r="K822" s="24">
        <v>96</v>
      </c>
      <c r="L822" s="24">
        <f t="shared" ca="1" si="165"/>
        <v>50</v>
      </c>
      <c r="M822" s="24">
        <v>400</v>
      </c>
      <c r="N822" s="24">
        <v>20</v>
      </c>
      <c r="O822" s="24">
        <f t="shared" ca="1" si="166"/>
        <v>566</v>
      </c>
      <c r="P822" s="24">
        <v>840</v>
      </c>
      <c r="Q822" s="11">
        <f t="shared" ca="1" si="167"/>
        <v>50</v>
      </c>
      <c r="R822" s="24">
        <v>200</v>
      </c>
      <c r="S822" s="24">
        <v>10</v>
      </c>
      <c r="T822" s="24">
        <f t="shared" ca="1" si="168"/>
        <v>1100</v>
      </c>
    </row>
    <row r="823" spans="1:20" x14ac:dyDescent="0.45">
      <c r="A823" s="11">
        <v>810</v>
      </c>
      <c r="B823" s="11">
        <f t="shared" ca="1" si="156"/>
        <v>1.3748062704714958E-2</v>
      </c>
      <c r="C823" s="11">
        <f t="shared" ca="1" si="157"/>
        <v>1000</v>
      </c>
      <c r="D823" s="11">
        <f t="shared" ca="1" si="158"/>
        <v>0.85308036714989488</v>
      </c>
      <c r="E823" s="11">
        <f t="shared" ca="1" si="159"/>
        <v>1700</v>
      </c>
      <c r="F823" s="11">
        <f t="shared" ca="1" si="160"/>
        <v>0.643037991712892</v>
      </c>
      <c r="G823" s="11">
        <f t="shared" ca="1" si="161"/>
        <v>1400</v>
      </c>
      <c r="H823" s="11">
        <f t="shared" ca="1" si="162"/>
        <v>1000</v>
      </c>
      <c r="I823" s="11">
        <f t="shared" ca="1" si="163"/>
        <v>0.54415976125842991</v>
      </c>
      <c r="J823" s="11">
        <f t="shared" ca="1" si="164"/>
        <v>5</v>
      </c>
      <c r="K823" s="24">
        <v>96</v>
      </c>
      <c r="L823" s="24">
        <f t="shared" ca="1" si="165"/>
        <v>50</v>
      </c>
      <c r="M823" s="24">
        <v>400</v>
      </c>
      <c r="N823" s="24">
        <v>20</v>
      </c>
      <c r="O823" s="24">
        <f t="shared" ca="1" si="166"/>
        <v>566</v>
      </c>
      <c r="P823" s="24">
        <v>841</v>
      </c>
      <c r="Q823" s="11">
        <f t="shared" ca="1" si="167"/>
        <v>50</v>
      </c>
      <c r="R823" s="24">
        <v>200</v>
      </c>
      <c r="S823" s="24">
        <v>10</v>
      </c>
      <c r="T823" s="24">
        <f t="shared" ca="1" si="168"/>
        <v>1101</v>
      </c>
    </row>
    <row r="824" spans="1:20" x14ac:dyDescent="0.45">
      <c r="A824" s="11">
        <v>811</v>
      </c>
      <c r="B824" s="11">
        <f t="shared" ca="1" si="156"/>
        <v>0.77090292150819983</v>
      </c>
      <c r="C824" s="11">
        <f t="shared" ca="1" si="157"/>
        <v>1500</v>
      </c>
      <c r="D824" s="11">
        <f t="shared" ca="1" si="158"/>
        <v>0.77887643540550666</v>
      </c>
      <c r="E824" s="11">
        <f t="shared" ca="1" si="159"/>
        <v>1500</v>
      </c>
      <c r="F824" s="11">
        <f t="shared" ca="1" si="160"/>
        <v>0.54606862074828821</v>
      </c>
      <c r="G824" s="11">
        <f t="shared" ca="1" si="161"/>
        <v>1300</v>
      </c>
      <c r="H824" s="11">
        <f t="shared" ca="1" si="162"/>
        <v>1300</v>
      </c>
      <c r="I824" s="11">
        <f t="shared" ca="1" si="163"/>
        <v>0.42632909687717668</v>
      </c>
      <c r="J824" s="11">
        <f t="shared" ca="1" si="164"/>
        <v>5</v>
      </c>
      <c r="K824" s="24">
        <v>96</v>
      </c>
      <c r="L824" s="24">
        <f t="shared" ca="1" si="165"/>
        <v>50</v>
      </c>
      <c r="M824" s="24">
        <v>400</v>
      </c>
      <c r="N824" s="24">
        <v>20</v>
      </c>
      <c r="O824" s="24">
        <f t="shared" ca="1" si="166"/>
        <v>566</v>
      </c>
      <c r="P824" s="24">
        <v>842</v>
      </c>
      <c r="Q824" s="11">
        <f t="shared" ca="1" si="167"/>
        <v>50</v>
      </c>
      <c r="R824" s="24">
        <v>200</v>
      </c>
      <c r="S824" s="24">
        <v>10</v>
      </c>
      <c r="T824" s="24">
        <f t="shared" ca="1" si="168"/>
        <v>1102</v>
      </c>
    </row>
    <row r="825" spans="1:20" x14ac:dyDescent="0.45">
      <c r="A825" s="11">
        <v>812</v>
      </c>
      <c r="B825" s="11">
        <f t="shared" ca="1" si="156"/>
        <v>0.39818308381906231</v>
      </c>
      <c r="C825" s="11">
        <f t="shared" ca="1" si="157"/>
        <v>1200</v>
      </c>
      <c r="D825" s="11">
        <f t="shared" ca="1" si="158"/>
        <v>0.64588595085078171</v>
      </c>
      <c r="E825" s="11">
        <f t="shared" ca="1" si="159"/>
        <v>1400</v>
      </c>
      <c r="F825" s="11">
        <f t="shared" ca="1" si="160"/>
        <v>0.13389272538643926</v>
      </c>
      <c r="G825" s="11">
        <f t="shared" ca="1" si="161"/>
        <v>1100</v>
      </c>
      <c r="H825" s="11">
        <f t="shared" ca="1" si="162"/>
        <v>1100</v>
      </c>
      <c r="I825" s="11">
        <f t="shared" ca="1" si="163"/>
        <v>0.68512287294379948</v>
      </c>
      <c r="J825" s="11">
        <f t="shared" ca="1" si="164"/>
        <v>10</v>
      </c>
      <c r="K825" s="24">
        <v>96</v>
      </c>
      <c r="L825" s="24">
        <f t="shared" ca="1" si="165"/>
        <v>100</v>
      </c>
      <c r="M825" s="24">
        <v>400</v>
      </c>
      <c r="N825" s="24">
        <v>20</v>
      </c>
      <c r="O825" s="24">
        <f t="shared" ca="1" si="166"/>
        <v>616</v>
      </c>
      <c r="P825" s="24">
        <v>843</v>
      </c>
      <c r="Q825" s="11">
        <f t="shared" ca="1" si="167"/>
        <v>100</v>
      </c>
      <c r="R825" s="24">
        <v>200</v>
      </c>
      <c r="S825" s="24">
        <v>10</v>
      </c>
      <c r="T825" s="24">
        <f t="shared" ca="1" si="168"/>
        <v>1153</v>
      </c>
    </row>
    <row r="826" spans="1:20" x14ac:dyDescent="0.45">
      <c r="A826" s="11">
        <v>813</v>
      </c>
      <c r="B826" s="11">
        <f t="shared" ca="1" si="156"/>
        <v>0.47136217289564719</v>
      </c>
      <c r="C826" s="11">
        <f t="shared" ca="1" si="157"/>
        <v>1200</v>
      </c>
      <c r="D826" s="11">
        <f t="shared" ca="1" si="158"/>
        <v>0.70906336324144592</v>
      </c>
      <c r="E826" s="11">
        <f t="shared" ca="1" si="159"/>
        <v>1500</v>
      </c>
      <c r="F826" s="11">
        <f t="shared" ca="1" si="160"/>
        <v>0.96364548151436802</v>
      </c>
      <c r="G826" s="11">
        <f t="shared" ca="1" si="161"/>
        <v>1900</v>
      </c>
      <c r="H826" s="11">
        <f t="shared" ca="1" si="162"/>
        <v>1200</v>
      </c>
      <c r="I826" s="11">
        <f t="shared" ca="1" si="163"/>
        <v>0.70325978390456678</v>
      </c>
      <c r="J826" s="11">
        <f t="shared" ca="1" si="164"/>
        <v>10</v>
      </c>
      <c r="K826" s="24">
        <v>96</v>
      </c>
      <c r="L826" s="24">
        <f t="shared" ca="1" si="165"/>
        <v>100</v>
      </c>
      <c r="M826" s="24">
        <v>400</v>
      </c>
      <c r="N826" s="24">
        <v>20</v>
      </c>
      <c r="O826" s="24">
        <f t="shared" ca="1" si="166"/>
        <v>616</v>
      </c>
      <c r="P826" s="24">
        <v>844</v>
      </c>
      <c r="Q826" s="11">
        <f t="shared" ca="1" si="167"/>
        <v>100</v>
      </c>
      <c r="R826" s="24">
        <v>200</v>
      </c>
      <c r="S826" s="24">
        <v>10</v>
      </c>
      <c r="T826" s="24">
        <f t="shared" ca="1" si="168"/>
        <v>1154</v>
      </c>
    </row>
    <row r="827" spans="1:20" x14ac:dyDescent="0.45">
      <c r="A827" s="11">
        <v>814</v>
      </c>
      <c r="B827" s="11">
        <f t="shared" ca="1" si="156"/>
        <v>0.32000639683385634</v>
      </c>
      <c r="C827" s="11">
        <f t="shared" ca="1" si="157"/>
        <v>1200</v>
      </c>
      <c r="D827" s="11">
        <f t="shared" ca="1" si="158"/>
        <v>0.67785171167874092</v>
      </c>
      <c r="E827" s="11">
        <f t="shared" ca="1" si="159"/>
        <v>1400</v>
      </c>
      <c r="F827" s="11">
        <f t="shared" ca="1" si="160"/>
        <v>0.9286149355580029</v>
      </c>
      <c r="G827" s="11">
        <f t="shared" ca="1" si="161"/>
        <v>1800</v>
      </c>
      <c r="H827" s="11">
        <f t="shared" ca="1" si="162"/>
        <v>1200</v>
      </c>
      <c r="I827" s="11">
        <f t="shared" ca="1" si="163"/>
        <v>0.84116679390012661</v>
      </c>
      <c r="J827" s="11">
        <f t="shared" ca="1" si="164"/>
        <v>10</v>
      </c>
      <c r="K827" s="24">
        <v>96</v>
      </c>
      <c r="L827" s="24">
        <f t="shared" ca="1" si="165"/>
        <v>100</v>
      </c>
      <c r="M827" s="24">
        <v>400</v>
      </c>
      <c r="N827" s="24">
        <v>20</v>
      </c>
      <c r="O827" s="24">
        <f t="shared" ca="1" si="166"/>
        <v>616</v>
      </c>
      <c r="P827" s="24">
        <v>845</v>
      </c>
      <c r="Q827" s="11">
        <f t="shared" ca="1" si="167"/>
        <v>100</v>
      </c>
      <c r="R827" s="24">
        <v>200</v>
      </c>
      <c r="S827" s="24">
        <v>10</v>
      </c>
      <c r="T827" s="24">
        <f t="shared" ca="1" si="168"/>
        <v>1155</v>
      </c>
    </row>
    <row r="828" spans="1:20" x14ac:dyDescent="0.45">
      <c r="A828" s="11">
        <v>815</v>
      </c>
      <c r="B828" s="11">
        <f t="shared" ca="1" si="156"/>
        <v>2.4501996268908921E-2</v>
      </c>
      <c r="C828" s="11">
        <f t="shared" ca="1" si="157"/>
        <v>1000</v>
      </c>
      <c r="D828" s="11">
        <f t="shared" ca="1" si="158"/>
        <v>0.38812904944158177</v>
      </c>
      <c r="E828" s="11">
        <f t="shared" ca="1" si="159"/>
        <v>1200</v>
      </c>
      <c r="F828" s="11">
        <f t="shared" ca="1" si="160"/>
        <v>0.51520083363047453</v>
      </c>
      <c r="G828" s="11">
        <f t="shared" ca="1" si="161"/>
        <v>1300</v>
      </c>
      <c r="H828" s="11">
        <f t="shared" ca="1" si="162"/>
        <v>1000</v>
      </c>
      <c r="I828" s="11">
        <f t="shared" ca="1" si="163"/>
        <v>0.99060713573248049</v>
      </c>
      <c r="J828" s="11">
        <f t="shared" ca="1" si="164"/>
        <v>15</v>
      </c>
      <c r="K828" s="24">
        <v>96</v>
      </c>
      <c r="L828" s="24">
        <f t="shared" ca="1" si="165"/>
        <v>150</v>
      </c>
      <c r="M828" s="24">
        <v>400</v>
      </c>
      <c r="N828" s="24">
        <v>20</v>
      </c>
      <c r="O828" s="24">
        <f t="shared" ca="1" si="166"/>
        <v>666</v>
      </c>
      <c r="P828" s="24">
        <v>846</v>
      </c>
      <c r="Q828" s="11">
        <f t="shared" ca="1" si="167"/>
        <v>150</v>
      </c>
      <c r="R828" s="24">
        <v>200</v>
      </c>
      <c r="S828" s="24">
        <v>10</v>
      </c>
      <c r="T828" s="24">
        <f t="shared" ca="1" si="168"/>
        <v>1206</v>
      </c>
    </row>
    <row r="829" spans="1:20" x14ac:dyDescent="0.45">
      <c r="A829" s="11">
        <v>816</v>
      </c>
      <c r="B829" s="11">
        <f t="shared" ca="1" si="156"/>
        <v>0.75043583166237104</v>
      </c>
      <c r="C829" s="11">
        <f t="shared" ca="1" si="157"/>
        <v>1500</v>
      </c>
      <c r="D829" s="11">
        <f t="shared" ca="1" si="158"/>
        <v>0.35155341571588017</v>
      </c>
      <c r="E829" s="11">
        <f t="shared" ca="1" si="159"/>
        <v>1200</v>
      </c>
      <c r="F829" s="11">
        <f t="shared" ca="1" si="160"/>
        <v>0.53721602339153196</v>
      </c>
      <c r="G829" s="11">
        <f t="shared" ca="1" si="161"/>
        <v>1300</v>
      </c>
      <c r="H829" s="11">
        <f t="shared" ca="1" si="162"/>
        <v>1200</v>
      </c>
      <c r="I829" s="11">
        <f t="shared" ca="1" si="163"/>
        <v>0.29901642013495655</v>
      </c>
      <c r="J829" s="11">
        <f t="shared" ca="1" si="164"/>
        <v>5</v>
      </c>
      <c r="K829" s="24">
        <v>96</v>
      </c>
      <c r="L829" s="24">
        <f t="shared" ca="1" si="165"/>
        <v>50</v>
      </c>
      <c r="M829" s="24">
        <v>400</v>
      </c>
      <c r="N829" s="24">
        <v>20</v>
      </c>
      <c r="O829" s="24">
        <f t="shared" ca="1" si="166"/>
        <v>566</v>
      </c>
      <c r="P829" s="24">
        <v>847</v>
      </c>
      <c r="Q829" s="11">
        <f t="shared" ca="1" si="167"/>
        <v>50</v>
      </c>
      <c r="R829" s="24">
        <v>200</v>
      </c>
      <c r="S829" s="24">
        <v>10</v>
      </c>
      <c r="T829" s="24">
        <f t="shared" ca="1" si="168"/>
        <v>1107</v>
      </c>
    </row>
    <row r="830" spans="1:20" x14ac:dyDescent="0.45">
      <c r="A830" s="11">
        <v>817</v>
      </c>
      <c r="B830" s="11">
        <f t="shared" ca="1" si="156"/>
        <v>0.69081957728611221</v>
      </c>
      <c r="C830" s="11">
        <f t="shared" ca="1" si="157"/>
        <v>1400</v>
      </c>
      <c r="D830" s="11">
        <f t="shared" ca="1" si="158"/>
        <v>0.90540388865799704</v>
      </c>
      <c r="E830" s="11">
        <f t="shared" ca="1" si="159"/>
        <v>1800</v>
      </c>
      <c r="F830" s="11">
        <f t="shared" ca="1" si="160"/>
        <v>0.20331234398534015</v>
      </c>
      <c r="G830" s="11">
        <f t="shared" ca="1" si="161"/>
        <v>1100</v>
      </c>
      <c r="H830" s="11">
        <f t="shared" ca="1" si="162"/>
        <v>1100</v>
      </c>
      <c r="I830" s="11">
        <f t="shared" ca="1" si="163"/>
        <v>0.34522163635071346</v>
      </c>
      <c r="J830" s="11">
        <f t="shared" ca="1" si="164"/>
        <v>5</v>
      </c>
      <c r="K830" s="24">
        <v>96</v>
      </c>
      <c r="L830" s="24">
        <f t="shared" ca="1" si="165"/>
        <v>50</v>
      </c>
      <c r="M830" s="24">
        <v>400</v>
      </c>
      <c r="N830" s="24">
        <v>20</v>
      </c>
      <c r="O830" s="24">
        <f t="shared" ca="1" si="166"/>
        <v>566</v>
      </c>
      <c r="P830" s="24">
        <v>848</v>
      </c>
      <c r="Q830" s="11">
        <f t="shared" ca="1" si="167"/>
        <v>50</v>
      </c>
      <c r="R830" s="24">
        <v>200</v>
      </c>
      <c r="S830" s="24">
        <v>10</v>
      </c>
      <c r="T830" s="24">
        <f t="shared" ca="1" si="168"/>
        <v>1108</v>
      </c>
    </row>
    <row r="831" spans="1:20" x14ac:dyDescent="0.45">
      <c r="A831" s="11">
        <v>818</v>
      </c>
      <c r="B831" s="11">
        <f t="shared" ca="1" si="156"/>
        <v>0.23208585504238621</v>
      </c>
      <c r="C831" s="11">
        <f t="shared" ca="1" si="157"/>
        <v>1200</v>
      </c>
      <c r="D831" s="11">
        <f t="shared" ca="1" si="158"/>
        <v>0.85353593688057727</v>
      </c>
      <c r="E831" s="11">
        <f t="shared" ca="1" si="159"/>
        <v>1700</v>
      </c>
      <c r="F831" s="11">
        <f t="shared" ca="1" si="160"/>
        <v>0.55200166585148913</v>
      </c>
      <c r="G831" s="11">
        <f t="shared" ca="1" si="161"/>
        <v>1300</v>
      </c>
      <c r="H831" s="11">
        <f t="shared" ca="1" si="162"/>
        <v>1200</v>
      </c>
      <c r="I831" s="11">
        <f t="shared" ca="1" si="163"/>
        <v>0.89126183099835699</v>
      </c>
      <c r="J831" s="11">
        <f t="shared" ca="1" si="164"/>
        <v>10</v>
      </c>
      <c r="K831" s="24">
        <v>96</v>
      </c>
      <c r="L831" s="24">
        <f t="shared" ca="1" si="165"/>
        <v>100</v>
      </c>
      <c r="M831" s="24">
        <v>400</v>
      </c>
      <c r="N831" s="24">
        <v>20</v>
      </c>
      <c r="O831" s="24">
        <f t="shared" ca="1" si="166"/>
        <v>616</v>
      </c>
      <c r="P831" s="24">
        <v>849</v>
      </c>
      <c r="Q831" s="11">
        <f t="shared" ca="1" si="167"/>
        <v>100</v>
      </c>
      <c r="R831" s="24">
        <v>200</v>
      </c>
      <c r="S831" s="24">
        <v>10</v>
      </c>
      <c r="T831" s="24">
        <f t="shared" ca="1" si="168"/>
        <v>1159</v>
      </c>
    </row>
    <row r="832" spans="1:20" x14ac:dyDescent="0.45">
      <c r="A832" s="11">
        <v>819</v>
      </c>
      <c r="B832" s="11">
        <f t="shared" ca="1" si="156"/>
        <v>0.2772991667291993</v>
      </c>
      <c r="C832" s="11">
        <f t="shared" ca="1" si="157"/>
        <v>1200</v>
      </c>
      <c r="D832" s="11">
        <f t="shared" ca="1" si="158"/>
        <v>0.46403725229799664</v>
      </c>
      <c r="E832" s="11">
        <f t="shared" ca="1" si="159"/>
        <v>1200</v>
      </c>
      <c r="F832" s="11">
        <f t="shared" ca="1" si="160"/>
        <v>0.45665659262073555</v>
      </c>
      <c r="G832" s="11">
        <f t="shared" ca="1" si="161"/>
        <v>1200</v>
      </c>
      <c r="H832" s="11">
        <f t="shared" ca="1" si="162"/>
        <v>1200</v>
      </c>
      <c r="I832" s="11">
        <f t="shared" ca="1" si="163"/>
        <v>0.49097916679062714</v>
      </c>
      <c r="J832" s="11">
        <f t="shared" ca="1" si="164"/>
        <v>5</v>
      </c>
      <c r="K832" s="24">
        <v>96</v>
      </c>
      <c r="L832" s="24">
        <f t="shared" ca="1" si="165"/>
        <v>50</v>
      </c>
      <c r="M832" s="24">
        <v>400</v>
      </c>
      <c r="N832" s="24">
        <v>20</v>
      </c>
      <c r="O832" s="24">
        <f t="shared" ca="1" si="166"/>
        <v>566</v>
      </c>
      <c r="P832" s="24">
        <v>850</v>
      </c>
      <c r="Q832" s="11">
        <f t="shared" ca="1" si="167"/>
        <v>50</v>
      </c>
      <c r="R832" s="24">
        <v>200</v>
      </c>
      <c r="S832" s="24">
        <v>10</v>
      </c>
      <c r="T832" s="24">
        <f t="shared" ca="1" si="168"/>
        <v>1110</v>
      </c>
    </row>
    <row r="833" spans="1:20" x14ac:dyDescent="0.45">
      <c r="A833" s="11">
        <v>820</v>
      </c>
      <c r="B833" s="11">
        <f t="shared" ca="1" si="156"/>
        <v>5.3133679741245943E-2</v>
      </c>
      <c r="C833" s="11">
        <f t="shared" ca="1" si="157"/>
        <v>1000</v>
      </c>
      <c r="D833" s="11">
        <f t="shared" ca="1" si="158"/>
        <v>0.38144787105737121</v>
      </c>
      <c r="E833" s="11">
        <f t="shared" ca="1" si="159"/>
        <v>1200</v>
      </c>
      <c r="F833" s="11">
        <f t="shared" ca="1" si="160"/>
        <v>0.5148701879807186</v>
      </c>
      <c r="G833" s="11">
        <f t="shared" ca="1" si="161"/>
        <v>1300</v>
      </c>
      <c r="H833" s="11">
        <f t="shared" ca="1" si="162"/>
        <v>1000</v>
      </c>
      <c r="I833" s="11">
        <f t="shared" ca="1" si="163"/>
        <v>0.59042216124577529</v>
      </c>
      <c r="J833" s="11">
        <f t="shared" ca="1" si="164"/>
        <v>5</v>
      </c>
      <c r="K833" s="24">
        <v>96</v>
      </c>
      <c r="L833" s="24">
        <f t="shared" ca="1" si="165"/>
        <v>50</v>
      </c>
      <c r="M833" s="24">
        <v>400</v>
      </c>
      <c r="N833" s="24">
        <v>20</v>
      </c>
      <c r="O833" s="24">
        <f t="shared" ca="1" si="166"/>
        <v>566</v>
      </c>
      <c r="P833" s="24">
        <v>851</v>
      </c>
      <c r="Q833" s="11">
        <f t="shared" ca="1" si="167"/>
        <v>50</v>
      </c>
      <c r="R833" s="24">
        <v>200</v>
      </c>
      <c r="S833" s="24">
        <v>10</v>
      </c>
      <c r="T833" s="24">
        <f t="shared" ca="1" si="168"/>
        <v>1111</v>
      </c>
    </row>
    <row r="834" spans="1:20" x14ac:dyDescent="0.45">
      <c r="A834" s="11">
        <v>821</v>
      </c>
      <c r="B834" s="11">
        <f t="shared" ca="1" si="156"/>
        <v>0.94757377777087237</v>
      </c>
      <c r="C834" s="11">
        <f t="shared" ca="1" si="157"/>
        <v>1800</v>
      </c>
      <c r="D834" s="11">
        <f t="shared" ca="1" si="158"/>
        <v>0.50780397597442117</v>
      </c>
      <c r="E834" s="11">
        <f t="shared" ca="1" si="159"/>
        <v>1300</v>
      </c>
      <c r="F834" s="11">
        <f t="shared" ca="1" si="160"/>
        <v>0.73535606615881854</v>
      </c>
      <c r="G834" s="11">
        <f t="shared" ca="1" si="161"/>
        <v>1500</v>
      </c>
      <c r="H834" s="11">
        <f t="shared" ca="1" si="162"/>
        <v>1300</v>
      </c>
      <c r="I834" s="11">
        <f t="shared" ca="1" si="163"/>
        <v>0.73575834274927121</v>
      </c>
      <c r="J834" s="11">
        <f t="shared" ca="1" si="164"/>
        <v>10</v>
      </c>
      <c r="K834" s="24">
        <v>96</v>
      </c>
      <c r="L834" s="24">
        <f t="shared" ca="1" si="165"/>
        <v>100</v>
      </c>
      <c r="M834" s="24">
        <v>400</v>
      </c>
      <c r="N834" s="24">
        <v>20</v>
      </c>
      <c r="O834" s="24">
        <f t="shared" ca="1" si="166"/>
        <v>616</v>
      </c>
      <c r="P834" s="24">
        <v>852</v>
      </c>
      <c r="Q834" s="11">
        <f t="shared" ca="1" si="167"/>
        <v>100</v>
      </c>
      <c r="R834" s="24">
        <v>200</v>
      </c>
      <c r="S834" s="24">
        <v>10</v>
      </c>
      <c r="T834" s="24">
        <f t="shared" ca="1" si="168"/>
        <v>1162</v>
      </c>
    </row>
    <row r="835" spans="1:20" x14ac:dyDescent="0.45">
      <c r="A835" s="11">
        <v>822</v>
      </c>
      <c r="B835" s="11">
        <f t="shared" ca="1" si="156"/>
        <v>0.50629245710085458</v>
      </c>
      <c r="C835" s="11">
        <f t="shared" ca="1" si="157"/>
        <v>1300</v>
      </c>
      <c r="D835" s="11">
        <f t="shared" ca="1" si="158"/>
        <v>0.38257133865471959</v>
      </c>
      <c r="E835" s="11">
        <f t="shared" ca="1" si="159"/>
        <v>1200</v>
      </c>
      <c r="F835" s="11">
        <f t="shared" ca="1" si="160"/>
        <v>0.71078972429415488</v>
      </c>
      <c r="G835" s="11">
        <f t="shared" ca="1" si="161"/>
        <v>1500</v>
      </c>
      <c r="H835" s="11">
        <f t="shared" ca="1" si="162"/>
        <v>1200</v>
      </c>
      <c r="I835" s="11">
        <f t="shared" ca="1" si="163"/>
        <v>0.15822284400652431</v>
      </c>
      <c r="J835" s="11">
        <f t="shared" ca="1" si="164"/>
        <v>5</v>
      </c>
      <c r="K835" s="24">
        <v>96</v>
      </c>
      <c r="L835" s="24">
        <f t="shared" ca="1" si="165"/>
        <v>50</v>
      </c>
      <c r="M835" s="24">
        <v>400</v>
      </c>
      <c r="N835" s="24">
        <v>20</v>
      </c>
      <c r="O835" s="24">
        <f t="shared" ca="1" si="166"/>
        <v>566</v>
      </c>
      <c r="P835" s="24">
        <v>853</v>
      </c>
      <c r="Q835" s="11">
        <f t="shared" ca="1" si="167"/>
        <v>50</v>
      </c>
      <c r="R835" s="24">
        <v>200</v>
      </c>
      <c r="S835" s="24">
        <v>10</v>
      </c>
      <c r="T835" s="24">
        <f t="shared" ca="1" si="168"/>
        <v>1113</v>
      </c>
    </row>
    <row r="836" spans="1:20" x14ac:dyDescent="0.45">
      <c r="A836" s="11">
        <v>823</v>
      </c>
      <c r="B836" s="11">
        <f t="shared" ca="1" si="156"/>
        <v>0.4877899779430076</v>
      </c>
      <c r="C836" s="11">
        <f t="shared" ca="1" si="157"/>
        <v>1300</v>
      </c>
      <c r="D836" s="11">
        <f t="shared" ca="1" si="158"/>
        <v>0.50118883923579283</v>
      </c>
      <c r="E836" s="11">
        <f t="shared" ca="1" si="159"/>
        <v>1300</v>
      </c>
      <c r="F836" s="11">
        <f t="shared" ca="1" si="160"/>
        <v>0.67045478336163666</v>
      </c>
      <c r="G836" s="11">
        <f t="shared" ca="1" si="161"/>
        <v>1400</v>
      </c>
      <c r="H836" s="11">
        <f t="shared" ca="1" si="162"/>
        <v>1300</v>
      </c>
      <c r="I836" s="11">
        <f t="shared" ca="1" si="163"/>
        <v>0.18701281431809869</v>
      </c>
      <c r="J836" s="11">
        <f t="shared" ca="1" si="164"/>
        <v>5</v>
      </c>
      <c r="K836" s="24">
        <v>96</v>
      </c>
      <c r="L836" s="24">
        <f t="shared" ca="1" si="165"/>
        <v>50</v>
      </c>
      <c r="M836" s="24">
        <v>400</v>
      </c>
      <c r="N836" s="24">
        <v>20</v>
      </c>
      <c r="O836" s="24">
        <f t="shared" ca="1" si="166"/>
        <v>566</v>
      </c>
      <c r="P836" s="24">
        <v>854</v>
      </c>
      <c r="Q836" s="11">
        <f t="shared" ca="1" si="167"/>
        <v>50</v>
      </c>
      <c r="R836" s="24">
        <v>200</v>
      </c>
      <c r="S836" s="24">
        <v>10</v>
      </c>
      <c r="T836" s="24">
        <f t="shared" ca="1" si="168"/>
        <v>1114</v>
      </c>
    </row>
    <row r="837" spans="1:20" x14ac:dyDescent="0.45">
      <c r="A837" s="11">
        <v>824</v>
      </c>
      <c r="B837" s="11">
        <f t="shared" ca="1" si="156"/>
        <v>0.34502342887888937</v>
      </c>
      <c r="C837" s="11">
        <f t="shared" ca="1" si="157"/>
        <v>1200</v>
      </c>
      <c r="D837" s="11">
        <f t="shared" ca="1" si="158"/>
        <v>0.25681743228055687</v>
      </c>
      <c r="E837" s="11">
        <f t="shared" ca="1" si="159"/>
        <v>1200</v>
      </c>
      <c r="F837" s="11">
        <f t="shared" ca="1" si="160"/>
        <v>0.63496352093825947</v>
      </c>
      <c r="G837" s="11">
        <f t="shared" ca="1" si="161"/>
        <v>1400</v>
      </c>
      <c r="H837" s="11">
        <f t="shared" ca="1" si="162"/>
        <v>1200</v>
      </c>
      <c r="I837" s="11">
        <f t="shared" ca="1" si="163"/>
        <v>0.97433027171002962</v>
      </c>
      <c r="J837" s="11">
        <f t="shared" ca="1" si="164"/>
        <v>15</v>
      </c>
      <c r="K837" s="24">
        <v>96</v>
      </c>
      <c r="L837" s="24">
        <f t="shared" ca="1" si="165"/>
        <v>150</v>
      </c>
      <c r="M837" s="24">
        <v>400</v>
      </c>
      <c r="N837" s="24">
        <v>20</v>
      </c>
      <c r="O837" s="24">
        <f t="shared" ca="1" si="166"/>
        <v>666</v>
      </c>
      <c r="P837" s="24">
        <v>855</v>
      </c>
      <c r="Q837" s="11">
        <f t="shared" ca="1" si="167"/>
        <v>150</v>
      </c>
      <c r="R837" s="24">
        <v>200</v>
      </c>
      <c r="S837" s="24">
        <v>10</v>
      </c>
      <c r="T837" s="24">
        <f t="shared" ca="1" si="168"/>
        <v>1215</v>
      </c>
    </row>
    <row r="838" spans="1:20" x14ac:dyDescent="0.45">
      <c r="A838" s="11">
        <v>825</v>
      </c>
      <c r="B838" s="11">
        <f t="shared" ca="1" si="156"/>
        <v>0.68565946297307545</v>
      </c>
      <c r="C838" s="11">
        <f t="shared" ca="1" si="157"/>
        <v>1400</v>
      </c>
      <c r="D838" s="11">
        <f t="shared" ca="1" si="158"/>
        <v>0.11547953917073539</v>
      </c>
      <c r="E838" s="11">
        <f t="shared" ca="1" si="159"/>
        <v>1100</v>
      </c>
      <c r="F838" s="11">
        <f t="shared" ca="1" si="160"/>
        <v>0.30388652965584184</v>
      </c>
      <c r="G838" s="11">
        <f t="shared" ca="1" si="161"/>
        <v>1200</v>
      </c>
      <c r="H838" s="11">
        <f t="shared" ca="1" si="162"/>
        <v>1100</v>
      </c>
      <c r="I838" s="11">
        <f t="shared" ca="1" si="163"/>
        <v>0.92586996969449298</v>
      </c>
      <c r="J838" s="11">
        <f t="shared" ca="1" si="164"/>
        <v>15</v>
      </c>
      <c r="K838" s="24">
        <v>96</v>
      </c>
      <c r="L838" s="24">
        <f t="shared" ca="1" si="165"/>
        <v>150</v>
      </c>
      <c r="M838" s="24">
        <v>400</v>
      </c>
      <c r="N838" s="24">
        <v>20</v>
      </c>
      <c r="O838" s="24">
        <f t="shared" ca="1" si="166"/>
        <v>666</v>
      </c>
      <c r="P838" s="24">
        <v>856</v>
      </c>
      <c r="Q838" s="11">
        <f t="shared" ca="1" si="167"/>
        <v>150</v>
      </c>
      <c r="R838" s="24">
        <v>200</v>
      </c>
      <c r="S838" s="24">
        <v>10</v>
      </c>
      <c r="T838" s="24">
        <f t="shared" ca="1" si="168"/>
        <v>1216</v>
      </c>
    </row>
    <row r="839" spans="1:20" x14ac:dyDescent="0.45">
      <c r="A839" s="11">
        <v>826</v>
      </c>
      <c r="B839" s="11">
        <f t="shared" ca="1" si="156"/>
        <v>0.23202477927224785</v>
      </c>
      <c r="C839" s="11">
        <f t="shared" ca="1" si="157"/>
        <v>1200</v>
      </c>
      <c r="D839" s="11">
        <f t="shared" ca="1" si="158"/>
        <v>0.95438252378814326</v>
      </c>
      <c r="E839" s="11">
        <f t="shared" ca="1" si="159"/>
        <v>1900</v>
      </c>
      <c r="F839" s="11">
        <f t="shared" ca="1" si="160"/>
        <v>0.4863764248688498</v>
      </c>
      <c r="G839" s="11">
        <f t="shared" ca="1" si="161"/>
        <v>1300</v>
      </c>
      <c r="H839" s="11">
        <f t="shared" ca="1" si="162"/>
        <v>1200</v>
      </c>
      <c r="I839" s="11">
        <f t="shared" ca="1" si="163"/>
        <v>0.4383510718198923</v>
      </c>
      <c r="J839" s="11">
        <f t="shared" ca="1" si="164"/>
        <v>5</v>
      </c>
      <c r="K839" s="24">
        <v>96</v>
      </c>
      <c r="L839" s="24">
        <f t="shared" ca="1" si="165"/>
        <v>50</v>
      </c>
      <c r="M839" s="24">
        <v>400</v>
      </c>
      <c r="N839" s="24">
        <v>20</v>
      </c>
      <c r="O839" s="24">
        <f t="shared" ca="1" si="166"/>
        <v>566</v>
      </c>
      <c r="P839" s="24">
        <v>857</v>
      </c>
      <c r="Q839" s="11">
        <f t="shared" ca="1" si="167"/>
        <v>50</v>
      </c>
      <c r="R839" s="24">
        <v>200</v>
      </c>
      <c r="S839" s="24">
        <v>10</v>
      </c>
      <c r="T839" s="24">
        <f t="shared" ca="1" si="168"/>
        <v>1117</v>
      </c>
    </row>
    <row r="840" spans="1:20" x14ac:dyDescent="0.45">
      <c r="A840" s="11">
        <v>827</v>
      </c>
      <c r="B840" s="11">
        <f t="shared" ca="1" si="156"/>
        <v>0.68324645718904753</v>
      </c>
      <c r="C840" s="11">
        <f t="shared" ca="1" si="157"/>
        <v>1400</v>
      </c>
      <c r="D840" s="11">
        <f t="shared" ca="1" si="158"/>
        <v>0.97960645690780468</v>
      </c>
      <c r="E840" s="11">
        <f t="shared" ca="1" si="159"/>
        <v>1900</v>
      </c>
      <c r="F840" s="11">
        <f t="shared" ca="1" si="160"/>
        <v>0.28838832987547947</v>
      </c>
      <c r="G840" s="11">
        <f t="shared" ca="1" si="161"/>
        <v>1200</v>
      </c>
      <c r="H840" s="11">
        <f t="shared" ca="1" si="162"/>
        <v>1200</v>
      </c>
      <c r="I840" s="11">
        <f t="shared" ca="1" si="163"/>
        <v>0.16363041556472224</v>
      </c>
      <c r="J840" s="11">
        <f t="shared" ca="1" si="164"/>
        <v>5</v>
      </c>
      <c r="K840" s="24">
        <v>96</v>
      </c>
      <c r="L840" s="24">
        <f t="shared" ca="1" si="165"/>
        <v>50</v>
      </c>
      <c r="M840" s="24">
        <v>400</v>
      </c>
      <c r="N840" s="24">
        <v>20</v>
      </c>
      <c r="O840" s="24">
        <f t="shared" ca="1" si="166"/>
        <v>566</v>
      </c>
      <c r="P840" s="24">
        <v>858</v>
      </c>
      <c r="Q840" s="11">
        <f t="shared" ca="1" si="167"/>
        <v>50</v>
      </c>
      <c r="R840" s="24">
        <v>200</v>
      </c>
      <c r="S840" s="24">
        <v>10</v>
      </c>
      <c r="T840" s="24">
        <f t="shared" ca="1" si="168"/>
        <v>1118</v>
      </c>
    </row>
    <row r="841" spans="1:20" x14ac:dyDescent="0.45">
      <c r="A841" s="11">
        <v>828</v>
      </c>
      <c r="B841" s="11">
        <f t="shared" ca="1" si="156"/>
        <v>0.8124145915797012</v>
      </c>
      <c r="C841" s="11">
        <f t="shared" ca="1" si="157"/>
        <v>1500</v>
      </c>
      <c r="D841" s="11">
        <f t="shared" ca="1" si="158"/>
        <v>0.56900122363741246</v>
      </c>
      <c r="E841" s="11">
        <f t="shared" ca="1" si="159"/>
        <v>1300</v>
      </c>
      <c r="F841" s="11">
        <f t="shared" ca="1" si="160"/>
        <v>0.77895788215401496</v>
      </c>
      <c r="G841" s="11">
        <f t="shared" ca="1" si="161"/>
        <v>1500</v>
      </c>
      <c r="H841" s="11">
        <f t="shared" ca="1" si="162"/>
        <v>1300</v>
      </c>
      <c r="I841" s="11">
        <f t="shared" ca="1" si="163"/>
        <v>9.3598772278809528E-2</v>
      </c>
      <c r="J841" s="11">
        <f t="shared" ca="1" si="164"/>
        <v>5</v>
      </c>
      <c r="K841" s="24">
        <v>96</v>
      </c>
      <c r="L841" s="24">
        <f t="shared" ca="1" si="165"/>
        <v>50</v>
      </c>
      <c r="M841" s="24">
        <v>400</v>
      </c>
      <c r="N841" s="24">
        <v>20</v>
      </c>
      <c r="O841" s="24">
        <f t="shared" ca="1" si="166"/>
        <v>566</v>
      </c>
      <c r="P841" s="24">
        <v>859</v>
      </c>
      <c r="Q841" s="11">
        <f t="shared" ca="1" si="167"/>
        <v>50</v>
      </c>
      <c r="R841" s="24">
        <v>200</v>
      </c>
      <c r="S841" s="24">
        <v>10</v>
      </c>
      <c r="T841" s="24">
        <f t="shared" ca="1" si="168"/>
        <v>1119</v>
      </c>
    </row>
    <row r="842" spans="1:20" x14ac:dyDescent="0.45">
      <c r="A842" s="11">
        <v>829</v>
      </c>
      <c r="B842" s="11">
        <f t="shared" ca="1" si="156"/>
        <v>0.60984803314066005</v>
      </c>
      <c r="C842" s="11">
        <f t="shared" ca="1" si="157"/>
        <v>1300</v>
      </c>
      <c r="D842" s="11">
        <f t="shared" ca="1" si="158"/>
        <v>0.46832280135856863</v>
      </c>
      <c r="E842" s="11">
        <f t="shared" ca="1" si="159"/>
        <v>1200</v>
      </c>
      <c r="F842" s="11">
        <f t="shared" ca="1" si="160"/>
        <v>0.76913207245396054</v>
      </c>
      <c r="G842" s="11">
        <f t="shared" ca="1" si="161"/>
        <v>1500</v>
      </c>
      <c r="H842" s="11">
        <f t="shared" ca="1" si="162"/>
        <v>1200</v>
      </c>
      <c r="I842" s="11">
        <f t="shared" ca="1" si="163"/>
        <v>0.59779494924978194</v>
      </c>
      <c r="J842" s="11">
        <f t="shared" ca="1" si="164"/>
        <v>5</v>
      </c>
      <c r="K842" s="24">
        <v>96</v>
      </c>
      <c r="L842" s="24">
        <f t="shared" ca="1" si="165"/>
        <v>50</v>
      </c>
      <c r="M842" s="24">
        <v>400</v>
      </c>
      <c r="N842" s="24">
        <v>20</v>
      </c>
      <c r="O842" s="24">
        <f t="shared" ca="1" si="166"/>
        <v>566</v>
      </c>
      <c r="P842" s="24">
        <v>860</v>
      </c>
      <c r="Q842" s="11">
        <f t="shared" ca="1" si="167"/>
        <v>50</v>
      </c>
      <c r="R842" s="24">
        <v>200</v>
      </c>
      <c r="S842" s="24">
        <v>10</v>
      </c>
      <c r="T842" s="24">
        <f t="shared" ca="1" si="168"/>
        <v>1120</v>
      </c>
    </row>
    <row r="843" spans="1:20" x14ac:dyDescent="0.45">
      <c r="A843" s="11">
        <v>830</v>
      </c>
      <c r="B843" s="11">
        <f t="shared" ca="1" si="156"/>
        <v>0.49328221096667701</v>
      </c>
      <c r="C843" s="11">
        <f t="shared" ca="1" si="157"/>
        <v>1300</v>
      </c>
      <c r="D843" s="11">
        <f t="shared" ca="1" si="158"/>
        <v>0.77396081517872739</v>
      </c>
      <c r="E843" s="11">
        <f t="shared" ca="1" si="159"/>
        <v>1500</v>
      </c>
      <c r="F843" s="11">
        <f t="shared" ca="1" si="160"/>
        <v>0.8555391035071257</v>
      </c>
      <c r="G843" s="11">
        <f t="shared" ca="1" si="161"/>
        <v>1700</v>
      </c>
      <c r="H843" s="11">
        <f t="shared" ca="1" si="162"/>
        <v>1300</v>
      </c>
      <c r="I843" s="11">
        <f t="shared" ca="1" si="163"/>
        <v>0.51719786508711862</v>
      </c>
      <c r="J843" s="11">
        <f t="shared" ca="1" si="164"/>
        <v>5</v>
      </c>
      <c r="K843" s="24">
        <v>96</v>
      </c>
      <c r="L843" s="24">
        <f t="shared" ca="1" si="165"/>
        <v>50</v>
      </c>
      <c r="M843" s="24">
        <v>400</v>
      </c>
      <c r="N843" s="24">
        <v>20</v>
      </c>
      <c r="O843" s="24">
        <f t="shared" ca="1" si="166"/>
        <v>566</v>
      </c>
      <c r="P843" s="24">
        <v>861</v>
      </c>
      <c r="Q843" s="11">
        <f t="shared" ca="1" si="167"/>
        <v>50</v>
      </c>
      <c r="R843" s="24">
        <v>200</v>
      </c>
      <c r="S843" s="24">
        <v>10</v>
      </c>
      <c r="T843" s="24">
        <f t="shared" ca="1" si="168"/>
        <v>1121</v>
      </c>
    </row>
    <row r="844" spans="1:20" x14ac:dyDescent="0.45">
      <c r="A844" s="11">
        <v>831</v>
      </c>
      <c r="B844" s="11">
        <f t="shared" ca="1" si="156"/>
        <v>0.74287102384090331</v>
      </c>
      <c r="C844" s="11">
        <f t="shared" ca="1" si="157"/>
        <v>1500</v>
      </c>
      <c r="D844" s="11">
        <f t="shared" ca="1" si="158"/>
        <v>0.78294268472804418</v>
      </c>
      <c r="E844" s="11">
        <f t="shared" ca="1" si="159"/>
        <v>1500</v>
      </c>
      <c r="F844" s="11">
        <f t="shared" ca="1" si="160"/>
        <v>0.16209271268714776</v>
      </c>
      <c r="G844" s="11">
        <f t="shared" ca="1" si="161"/>
        <v>1100</v>
      </c>
      <c r="H844" s="11">
        <f t="shared" ca="1" si="162"/>
        <v>1100</v>
      </c>
      <c r="I844" s="11">
        <f t="shared" ca="1" si="163"/>
        <v>0.96580371623882211</v>
      </c>
      <c r="J844" s="11">
        <f t="shared" ca="1" si="164"/>
        <v>15</v>
      </c>
      <c r="K844" s="24">
        <v>96</v>
      </c>
      <c r="L844" s="24">
        <f t="shared" ca="1" si="165"/>
        <v>150</v>
      </c>
      <c r="M844" s="24">
        <v>400</v>
      </c>
      <c r="N844" s="24">
        <v>20</v>
      </c>
      <c r="O844" s="24">
        <f t="shared" ca="1" si="166"/>
        <v>666</v>
      </c>
      <c r="P844" s="24">
        <v>862</v>
      </c>
      <c r="Q844" s="11">
        <f t="shared" ca="1" si="167"/>
        <v>150</v>
      </c>
      <c r="R844" s="24">
        <v>200</v>
      </c>
      <c r="S844" s="24">
        <v>10</v>
      </c>
      <c r="T844" s="24">
        <f t="shared" ca="1" si="168"/>
        <v>1222</v>
      </c>
    </row>
    <row r="845" spans="1:20" x14ac:dyDescent="0.45">
      <c r="A845" s="11">
        <v>832</v>
      </c>
      <c r="B845" s="11">
        <f t="shared" ca="1" si="156"/>
        <v>0.98476169192187868</v>
      </c>
      <c r="C845" s="11">
        <f t="shared" ca="1" si="157"/>
        <v>1900</v>
      </c>
      <c r="D845" s="11">
        <f t="shared" ca="1" si="158"/>
        <v>0.55946545652535729</v>
      </c>
      <c r="E845" s="11">
        <f t="shared" ca="1" si="159"/>
        <v>1300</v>
      </c>
      <c r="F845" s="11">
        <f t="shared" ca="1" si="160"/>
        <v>4.4409939368916573E-2</v>
      </c>
      <c r="G845" s="11">
        <f t="shared" ca="1" si="161"/>
        <v>1000</v>
      </c>
      <c r="H845" s="11">
        <f t="shared" ca="1" si="162"/>
        <v>1000</v>
      </c>
      <c r="I845" s="11">
        <f t="shared" ca="1" si="163"/>
        <v>0.69732363641811745</v>
      </c>
      <c r="J845" s="11">
        <f t="shared" ca="1" si="164"/>
        <v>10</v>
      </c>
      <c r="K845" s="24">
        <v>96</v>
      </c>
      <c r="L845" s="24">
        <f t="shared" ca="1" si="165"/>
        <v>100</v>
      </c>
      <c r="M845" s="24">
        <v>400</v>
      </c>
      <c r="N845" s="24">
        <v>20</v>
      </c>
      <c r="O845" s="24">
        <f t="shared" ca="1" si="166"/>
        <v>616</v>
      </c>
      <c r="P845" s="24">
        <v>863</v>
      </c>
      <c r="Q845" s="11">
        <f t="shared" ca="1" si="167"/>
        <v>100</v>
      </c>
      <c r="R845" s="24">
        <v>200</v>
      </c>
      <c r="S845" s="24">
        <v>10</v>
      </c>
      <c r="T845" s="24">
        <f t="shared" ca="1" si="168"/>
        <v>1173</v>
      </c>
    </row>
    <row r="846" spans="1:20" x14ac:dyDescent="0.45">
      <c r="A846" s="11">
        <v>833</v>
      </c>
      <c r="B846" s="11">
        <f t="shared" ca="1" si="156"/>
        <v>0.92461830732200123</v>
      </c>
      <c r="C846" s="11">
        <f t="shared" ca="1" si="157"/>
        <v>1800</v>
      </c>
      <c r="D846" s="11">
        <f t="shared" ca="1" si="158"/>
        <v>0.8973214098067922</v>
      </c>
      <c r="E846" s="11">
        <f t="shared" ca="1" si="159"/>
        <v>1700</v>
      </c>
      <c r="F846" s="11">
        <f t="shared" ca="1" si="160"/>
        <v>0.61111762921729296</v>
      </c>
      <c r="G846" s="11">
        <f t="shared" ca="1" si="161"/>
        <v>1400</v>
      </c>
      <c r="H846" s="11">
        <f t="shared" ca="1" si="162"/>
        <v>1400</v>
      </c>
      <c r="I846" s="11">
        <f t="shared" ca="1" si="163"/>
        <v>0.77320266447123365</v>
      </c>
      <c r="J846" s="11">
        <f t="shared" ca="1" si="164"/>
        <v>10</v>
      </c>
      <c r="K846" s="24">
        <v>96</v>
      </c>
      <c r="L846" s="24">
        <f t="shared" ca="1" si="165"/>
        <v>100</v>
      </c>
      <c r="M846" s="24">
        <v>400</v>
      </c>
      <c r="N846" s="24">
        <v>20</v>
      </c>
      <c r="O846" s="24">
        <f t="shared" ca="1" si="166"/>
        <v>616</v>
      </c>
      <c r="P846" s="24">
        <v>864</v>
      </c>
      <c r="Q846" s="11">
        <f t="shared" ca="1" si="167"/>
        <v>100</v>
      </c>
      <c r="R846" s="24">
        <v>200</v>
      </c>
      <c r="S846" s="24">
        <v>10</v>
      </c>
      <c r="T846" s="24">
        <f t="shared" ca="1" si="168"/>
        <v>1174</v>
      </c>
    </row>
    <row r="847" spans="1:20" x14ac:dyDescent="0.45">
      <c r="A847" s="11">
        <v>834</v>
      </c>
      <c r="B847" s="11">
        <f t="shared" ref="B847:B910" ca="1" si="169">RAND()</f>
        <v>0.48174837719164842</v>
      </c>
      <c r="C847" s="11">
        <f t="shared" ref="C847:C910" ca="1" si="170">LOOKUP(B847, $C$2:$C$11, $A$2:$A$11)</f>
        <v>1300</v>
      </c>
      <c r="D847" s="11">
        <f t="shared" ref="D847:D910" ca="1" si="171">RAND()</f>
        <v>0.43068361512664122</v>
      </c>
      <c r="E847" s="11">
        <f t="shared" ref="E847:E910" ca="1" si="172">LOOKUP(D847, $C$2:$C$11, $A$2:$A$11)</f>
        <v>1200</v>
      </c>
      <c r="F847" s="11">
        <f t="shared" ref="F847:F910" ca="1" si="173">RAND()</f>
        <v>0.70735556420489942</v>
      </c>
      <c r="G847" s="11">
        <f t="shared" ref="G847:G910" ca="1" si="174">LOOKUP(F847, $C$2:$C$11, $A$2:$A$11)</f>
        <v>1500</v>
      </c>
      <c r="H847" s="11">
        <f t="shared" ref="H847:H910" ca="1" si="175">MIN(C847, E847, G847)</f>
        <v>1200</v>
      </c>
      <c r="I847" s="11">
        <f t="shared" ref="I847:I910" ca="1" si="176">RAND()</f>
        <v>0.22765291253416287</v>
      </c>
      <c r="J847" s="11">
        <f t="shared" ref="J847:J910" ca="1" si="177">LOOKUP(I847, $G$2:$G$4, $E$2:$E$4)</f>
        <v>5</v>
      </c>
      <c r="K847" s="24">
        <v>96</v>
      </c>
      <c r="L847" s="24">
        <f t="shared" ref="L847:L910" ca="1" si="178">J847*10</f>
        <v>50</v>
      </c>
      <c r="M847" s="24">
        <v>400</v>
      </c>
      <c r="N847" s="24">
        <v>20</v>
      </c>
      <c r="O847" s="24">
        <f t="shared" ref="O847:O910" ca="1" si="179">K847+L847+M847+N847</f>
        <v>566</v>
      </c>
      <c r="P847" s="24">
        <v>865</v>
      </c>
      <c r="Q847" s="11">
        <f t="shared" ref="Q847:Q910" ca="1" si="180">J847*10</f>
        <v>50</v>
      </c>
      <c r="R847" s="24">
        <v>200</v>
      </c>
      <c r="S847" s="24">
        <v>10</v>
      </c>
      <c r="T847" s="24">
        <f t="shared" ref="T847:T910" ca="1" si="181">SUM(P847:S847)</f>
        <v>1125</v>
      </c>
    </row>
    <row r="848" spans="1:20" x14ac:dyDescent="0.45">
      <c r="A848" s="11">
        <v>835</v>
      </c>
      <c r="B848" s="11">
        <f t="shared" ca="1" si="169"/>
        <v>0.95371471410716846</v>
      </c>
      <c r="C848" s="11">
        <f t="shared" ca="1" si="170"/>
        <v>1900</v>
      </c>
      <c r="D848" s="11">
        <f t="shared" ca="1" si="171"/>
        <v>0.74632918512314572</v>
      </c>
      <c r="E848" s="11">
        <f t="shared" ca="1" si="172"/>
        <v>1500</v>
      </c>
      <c r="F848" s="11">
        <f t="shared" ca="1" si="173"/>
        <v>0.79484618256516926</v>
      </c>
      <c r="G848" s="11">
        <f t="shared" ca="1" si="174"/>
        <v>1500</v>
      </c>
      <c r="H848" s="11">
        <f t="shared" ca="1" si="175"/>
        <v>1500</v>
      </c>
      <c r="I848" s="11">
        <f t="shared" ca="1" si="176"/>
        <v>0.33005070864326591</v>
      </c>
      <c r="J848" s="11">
        <f t="shared" ca="1" si="177"/>
        <v>5</v>
      </c>
      <c r="K848" s="24">
        <v>96</v>
      </c>
      <c r="L848" s="24">
        <f t="shared" ca="1" si="178"/>
        <v>50</v>
      </c>
      <c r="M848" s="24">
        <v>400</v>
      </c>
      <c r="N848" s="24">
        <v>20</v>
      </c>
      <c r="O848" s="24">
        <f t="shared" ca="1" si="179"/>
        <v>566</v>
      </c>
      <c r="P848" s="24">
        <v>866</v>
      </c>
      <c r="Q848" s="11">
        <f t="shared" ca="1" si="180"/>
        <v>50</v>
      </c>
      <c r="R848" s="24">
        <v>200</v>
      </c>
      <c r="S848" s="24">
        <v>10</v>
      </c>
      <c r="T848" s="24">
        <f t="shared" ca="1" si="181"/>
        <v>1126</v>
      </c>
    </row>
    <row r="849" spans="1:20" x14ac:dyDescent="0.45">
      <c r="A849" s="11">
        <v>836</v>
      </c>
      <c r="B849" s="11">
        <f t="shared" ca="1" si="169"/>
        <v>4.9456481615599901E-2</v>
      </c>
      <c r="C849" s="11">
        <f t="shared" ca="1" si="170"/>
        <v>1000</v>
      </c>
      <c r="D849" s="11">
        <f t="shared" ca="1" si="171"/>
        <v>0.30656647780648039</v>
      </c>
      <c r="E849" s="11">
        <f t="shared" ca="1" si="172"/>
        <v>1200</v>
      </c>
      <c r="F849" s="11">
        <f t="shared" ca="1" si="173"/>
        <v>0.46710256291437402</v>
      </c>
      <c r="G849" s="11">
        <f t="shared" ca="1" si="174"/>
        <v>1200</v>
      </c>
      <c r="H849" s="11">
        <f t="shared" ca="1" si="175"/>
        <v>1000</v>
      </c>
      <c r="I849" s="11">
        <f t="shared" ca="1" si="176"/>
        <v>0.2705838222844571</v>
      </c>
      <c r="J849" s="11">
        <f t="shared" ca="1" si="177"/>
        <v>5</v>
      </c>
      <c r="K849" s="24">
        <v>96</v>
      </c>
      <c r="L849" s="24">
        <f t="shared" ca="1" si="178"/>
        <v>50</v>
      </c>
      <c r="M849" s="24">
        <v>400</v>
      </c>
      <c r="N849" s="24">
        <v>20</v>
      </c>
      <c r="O849" s="24">
        <f t="shared" ca="1" si="179"/>
        <v>566</v>
      </c>
      <c r="P849" s="24">
        <v>867</v>
      </c>
      <c r="Q849" s="11">
        <f t="shared" ca="1" si="180"/>
        <v>50</v>
      </c>
      <c r="R849" s="24">
        <v>200</v>
      </c>
      <c r="S849" s="24">
        <v>10</v>
      </c>
      <c r="T849" s="24">
        <f t="shared" ca="1" si="181"/>
        <v>1127</v>
      </c>
    </row>
    <row r="850" spans="1:20" x14ac:dyDescent="0.45">
      <c r="A850" s="11">
        <v>837</v>
      </c>
      <c r="B850" s="11">
        <f t="shared" ca="1" si="169"/>
        <v>0.13975242347411221</v>
      </c>
      <c r="C850" s="11">
        <f t="shared" ca="1" si="170"/>
        <v>1100</v>
      </c>
      <c r="D850" s="11">
        <f t="shared" ca="1" si="171"/>
        <v>0.63295511037154639</v>
      </c>
      <c r="E850" s="11">
        <f t="shared" ca="1" si="172"/>
        <v>1400</v>
      </c>
      <c r="F850" s="11">
        <f t="shared" ca="1" si="173"/>
        <v>0.909529031728468</v>
      </c>
      <c r="G850" s="11">
        <f t="shared" ca="1" si="174"/>
        <v>1800</v>
      </c>
      <c r="H850" s="11">
        <f t="shared" ca="1" si="175"/>
        <v>1100</v>
      </c>
      <c r="I850" s="11">
        <f t="shared" ca="1" si="176"/>
        <v>0.45326961461991455</v>
      </c>
      <c r="J850" s="11">
        <f t="shared" ca="1" si="177"/>
        <v>5</v>
      </c>
      <c r="K850" s="24">
        <v>96</v>
      </c>
      <c r="L850" s="24">
        <f t="shared" ca="1" si="178"/>
        <v>50</v>
      </c>
      <c r="M850" s="24">
        <v>400</v>
      </c>
      <c r="N850" s="24">
        <v>20</v>
      </c>
      <c r="O850" s="24">
        <f t="shared" ca="1" si="179"/>
        <v>566</v>
      </c>
      <c r="P850" s="24">
        <v>868</v>
      </c>
      <c r="Q850" s="11">
        <f t="shared" ca="1" si="180"/>
        <v>50</v>
      </c>
      <c r="R850" s="24">
        <v>200</v>
      </c>
      <c r="S850" s="24">
        <v>10</v>
      </c>
      <c r="T850" s="24">
        <f t="shared" ca="1" si="181"/>
        <v>1128</v>
      </c>
    </row>
    <row r="851" spans="1:20" x14ac:dyDescent="0.45">
      <c r="A851" s="11">
        <v>838</v>
      </c>
      <c r="B851" s="11">
        <f t="shared" ca="1" si="169"/>
        <v>0.27644105006296749</v>
      </c>
      <c r="C851" s="11">
        <f t="shared" ca="1" si="170"/>
        <v>1200</v>
      </c>
      <c r="D851" s="11">
        <f t="shared" ca="1" si="171"/>
        <v>6.2451875077790597E-2</v>
      </c>
      <c r="E851" s="11">
        <f t="shared" ca="1" si="172"/>
        <v>1000</v>
      </c>
      <c r="F851" s="11">
        <f t="shared" ca="1" si="173"/>
        <v>0.98700274282056188</v>
      </c>
      <c r="G851" s="11">
        <f t="shared" ca="1" si="174"/>
        <v>1900</v>
      </c>
      <c r="H851" s="11">
        <f t="shared" ca="1" si="175"/>
        <v>1000</v>
      </c>
      <c r="I851" s="11">
        <f t="shared" ca="1" si="176"/>
        <v>0.2605643992608131</v>
      </c>
      <c r="J851" s="11">
        <f t="shared" ca="1" si="177"/>
        <v>5</v>
      </c>
      <c r="K851" s="24">
        <v>96</v>
      </c>
      <c r="L851" s="24">
        <f t="shared" ca="1" si="178"/>
        <v>50</v>
      </c>
      <c r="M851" s="24">
        <v>400</v>
      </c>
      <c r="N851" s="24">
        <v>20</v>
      </c>
      <c r="O851" s="24">
        <f t="shared" ca="1" si="179"/>
        <v>566</v>
      </c>
      <c r="P851" s="24">
        <v>869</v>
      </c>
      <c r="Q851" s="11">
        <f t="shared" ca="1" si="180"/>
        <v>50</v>
      </c>
      <c r="R851" s="24">
        <v>200</v>
      </c>
      <c r="S851" s="24">
        <v>10</v>
      </c>
      <c r="T851" s="24">
        <f t="shared" ca="1" si="181"/>
        <v>1129</v>
      </c>
    </row>
    <row r="852" spans="1:20" x14ac:dyDescent="0.45">
      <c r="A852" s="11">
        <v>839</v>
      </c>
      <c r="B852" s="11">
        <f t="shared" ca="1" si="169"/>
        <v>0.39327404639385499</v>
      </c>
      <c r="C852" s="11">
        <f t="shared" ca="1" si="170"/>
        <v>1200</v>
      </c>
      <c r="D852" s="11">
        <f t="shared" ca="1" si="171"/>
        <v>0.67165735592349007</v>
      </c>
      <c r="E852" s="11">
        <f t="shared" ca="1" si="172"/>
        <v>1400</v>
      </c>
      <c r="F852" s="11">
        <f t="shared" ca="1" si="173"/>
        <v>0.30680411464224633</v>
      </c>
      <c r="G852" s="11">
        <f t="shared" ca="1" si="174"/>
        <v>1200</v>
      </c>
      <c r="H852" s="11">
        <f t="shared" ca="1" si="175"/>
        <v>1200</v>
      </c>
      <c r="I852" s="11">
        <f t="shared" ca="1" si="176"/>
        <v>5.5756762393878168E-2</v>
      </c>
      <c r="J852" s="11">
        <f t="shared" ca="1" si="177"/>
        <v>5</v>
      </c>
      <c r="K852" s="24">
        <v>96</v>
      </c>
      <c r="L852" s="24">
        <f t="shared" ca="1" si="178"/>
        <v>50</v>
      </c>
      <c r="M852" s="24">
        <v>400</v>
      </c>
      <c r="N852" s="24">
        <v>20</v>
      </c>
      <c r="O852" s="24">
        <f t="shared" ca="1" si="179"/>
        <v>566</v>
      </c>
      <c r="P852" s="24">
        <v>870</v>
      </c>
      <c r="Q852" s="11">
        <f t="shared" ca="1" si="180"/>
        <v>50</v>
      </c>
      <c r="R852" s="24">
        <v>200</v>
      </c>
      <c r="S852" s="24">
        <v>10</v>
      </c>
      <c r="T852" s="24">
        <f t="shared" ca="1" si="181"/>
        <v>1130</v>
      </c>
    </row>
    <row r="853" spans="1:20" x14ac:dyDescent="0.45">
      <c r="A853" s="11">
        <v>840</v>
      </c>
      <c r="B853" s="11">
        <f t="shared" ca="1" si="169"/>
        <v>0.58500785391424659</v>
      </c>
      <c r="C853" s="11">
        <f t="shared" ca="1" si="170"/>
        <v>1300</v>
      </c>
      <c r="D853" s="11">
        <f t="shared" ca="1" si="171"/>
        <v>1.7100280043320981E-2</v>
      </c>
      <c r="E853" s="11">
        <f t="shared" ca="1" si="172"/>
        <v>1000</v>
      </c>
      <c r="F853" s="11">
        <f t="shared" ca="1" si="173"/>
        <v>0.49418804242792735</v>
      </c>
      <c r="G853" s="11">
        <f t="shared" ca="1" si="174"/>
        <v>1300</v>
      </c>
      <c r="H853" s="11">
        <f t="shared" ca="1" si="175"/>
        <v>1000</v>
      </c>
      <c r="I853" s="11">
        <f t="shared" ca="1" si="176"/>
        <v>0.64757777578887743</v>
      </c>
      <c r="J853" s="11">
        <f t="shared" ca="1" si="177"/>
        <v>10</v>
      </c>
      <c r="K853" s="24">
        <v>96</v>
      </c>
      <c r="L853" s="24">
        <f t="shared" ca="1" si="178"/>
        <v>100</v>
      </c>
      <c r="M853" s="24">
        <v>400</v>
      </c>
      <c r="N853" s="24">
        <v>20</v>
      </c>
      <c r="O853" s="24">
        <f t="shared" ca="1" si="179"/>
        <v>616</v>
      </c>
      <c r="P853" s="24">
        <v>871</v>
      </c>
      <c r="Q853" s="11">
        <f t="shared" ca="1" si="180"/>
        <v>100</v>
      </c>
      <c r="R853" s="24">
        <v>200</v>
      </c>
      <c r="S853" s="24">
        <v>10</v>
      </c>
      <c r="T853" s="24">
        <f t="shared" ca="1" si="181"/>
        <v>1181</v>
      </c>
    </row>
    <row r="854" spans="1:20" x14ac:dyDescent="0.45">
      <c r="A854" s="11">
        <v>841</v>
      </c>
      <c r="B854" s="11">
        <f t="shared" ca="1" si="169"/>
        <v>0.52322373233091979</v>
      </c>
      <c r="C854" s="11">
        <f t="shared" ca="1" si="170"/>
        <v>1300</v>
      </c>
      <c r="D854" s="11">
        <f t="shared" ca="1" si="171"/>
        <v>3.8378739013666174E-2</v>
      </c>
      <c r="E854" s="11">
        <f t="shared" ca="1" si="172"/>
        <v>1000</v>
      </c>
      <c r="F854" s="11">
        <f t="shared" ca="1" si="173"/>
        <v>0.62524941024292169</v>
      </c>
      <c r="G854" s="11">
        <f t="shared" ca="1" si="174"/>
        <v>1400</v>
      </c>
      <c r="H854" s="11">
        <f t="shared" ca="1" si="175"/>
        <v>1000</v>
      </c>
      <c r="I854" s="11">
        <f t="shared" ca="1" si="176"/>
        <v>0.9111907218851758</v>
      </c>
      <c r="J854" s="11">
        <f t="shared" ca="1" si="177"/>
        <v>15</v>
      </c>
      <c r="K854" s="24">
        <v>96</v>
      </c>
      <c r="L854" s="24">
        <f t="shared" ca="1" si="178"/>
        <v>150</v>
      </c>
      <c r="M854" s="24">
        <v>400</v>
      </c>
      <c r="N854" s="24">
        <v>20</v>
      </c>
      <c r="O854" s="24">
        <f t="shared" ca="1" si="179"/>
        <v>666</v>
      </c>
      <c r="P854" s="24">
        <v>872</v>
      </c>
      <c r="Q854" s="11">
        <f t="shared" ca="1" si="180"/>
        <v>150</v>
      </c>
      <c r="R854" s="24">
        <v>200</v>
      </c>
      <c r="S854" s="24">
        <v>10</v>
      </c>
      <c r="T854" s="24">
        <f t="shared" ca="1" si="181"/>
        <v>1232</v>
      </c>
    </row>
    <row r="855" spans="1:20" x14ac:dyDescent="0.45">
      <c r="A855" s="11">
        <v>842</v>
      </c>
      <c r="B855" s="11">
        <f t="shared" ca="1" si="169"/>
        <v>0.38204883717543858</v>
      </c>
      <c r="C855" s="11">
        <f t="shared" ca="1" si="170"/>
        <v>1200</v>
      </c>
      <c r="D855" s="11">
        <f t="shared" ca="1" si="171"/>
        <v>0.16325751937724109</v>
      </c>
      <c r="E855" s="11">
        <f t="shared" ca="1" si="172"/>
        <v>1100</v>
      </c>
      <c r="F855" s="11">
        <f t="shared" ca="1" si="173"/>
        <v>0.50069319351112518</v>
      </c>
      <c r="G855" s="11">
        <f t="shared" ca="1" si="174"/>
        <v>1300</v>
      </c>
      <c r="H855" s="11">
        <f t="shared" ca="1" si="175"/>
        <v>1100</v>
      </c>
      <c r="I855" s="11">
        <f t="shared" ca="1" si="176"/>
        <v>0.4547370872063683</v>
      </c>
      <c r="J855" s="11">
        <f t="shared" ca="1" si="177"/>
        <v>5</v>
      </c>
      <c r="K855" s="24">
        <v>96</v>
      </c>
      <c r="L855" s="24">
        <f t="shared" ca="1" si="178"/>
        <v>50</v>
      </c>
      <c r="M855" s="24">
        <v>400</v>
      </c>
      <c r="N855" s="24">
        <v>20</v>
      </c>
      <c r="O855" s="24">
        <f t="shared" ca="1" si="179"/>
        <v>566</v>
      </c>
      <c r="P855" s="24">
        <v>873</v>
      </c>
      <c r="Q855" s="11">
        <f t="shared" ca="1" si="180"/>
        <v>50</v>
      </c>
      <c r="R855" s="24">
        <v>200</v>
      </c>
      <c r="S855" s="24">
        <v>10</v>
      </c>
      <c r="T855" s="24">
        <f t="shared" ca="1" si="181"/>
        <v>1133</v>
      </c>
    </row>
    <row r="856" spans="1:20" x14ac:dyDescent="0.45">
      <c r="A856" s="11">
        <v>843</v>
      </c>
      <c r="B856" s="11">
        <f t="shared" ca="1" si="169"/>
        <v>3.2587266357509193E-2</v>
      </c>
      <c r="C856" s="11">
        <f t="shared" ca="1" si="170"/>
        <v>1000</v>
      </c>
      <c r="D856" s="11">
        <f t="shared" ca="1" si="171"/>
        <v>0.37511939825051166</v>
      </c>
      <c r="E856" s="11">
        <f t="shared" ca="1" si="172"/>
        <v>1200</v>
      </c>
      <c r="F856" s="11">
        <f t="shared" ca="1" si="173"/>
        <v>0.8260781334447822</v>
      </c>
      <c r="G856" s="11">
        <f t="shared" ca="1" si="174"/>
        <v>1600</v>
      </c>
      <c r="H856" s="11">
        <f t="shared" ca="1" si="175"/>
        <v>1000</v>
      </c>
      <c r="I856" s="11">
        <f t="shared" ca="1" si="176"/>
        <v>8.875369915514042E-2</v>
      </c>
      <c r="J856" s="11">
        <f t="shared" ca="1" si="177"/>
        <v>5</v>
      </c>
      <c r="K856" s="24">
        <v>96</v>
      </c>
      <c r="L856" s="24">
        <f t="shared" ca="1" si="178"/>
        <v>50</v>
      </c>
      <c r="M856" s="24">
        <v>400</v>
      </c>
      <c r="N856" s="24">
        <v>20</v>
      </c>
      <c r="O856" s="24">
        <f t="shared" ca="1" si="179"/>
        <v>566</v>
      </c>
      <c r="P856" s="24">
        <v>874</v>
      </c>
      <c r="Q856" s="11">
        <f t="shared" ca="1" si="180"/>
        <v>50</v>
      </c>
      <c r="R856" s="24">
        <v>200</v>
      </c>
      <c r="S856" s="24">
        <v>10</v>
      </c>
      <c r="T856" s="24">
        <f t="shared" ca="1" si="181"/>
        <v>1134</v>
      </c>
    </row>
    <row r="857" spans="1:20" x14ac:dyDescent="0.45">
      <c r="A857" s="11">
        <v>844</v>
      </c>
      <c r="B857" s="11">
        <f t="shared" ca="1" si="169"/>
        <v>0.84878446935266805</v>
      </c>
      <c r="C857" s="11">
        <f t="shared" ca="1" si="170"/>
        <v>1700</v>
      </c>
      <c r="D857" s="11">
        <f t="shared" ca="1" si="171"/>
        <v>0.46127964652027231</v>
      </c>
      <c r="E857" s="11">
        <f t="shared" ca="1" si="172"/>
        <v>1200</v>
      </c>
      <c r="F857" s="11">
        <f t="shared" ca="1" si="173"/>
        <v>0.95406301044820763</v>
      </c>
      <c r="G857" s="11">
        <f t="shared" ca="1" si="174"/>
        <v>1900</v>
      </c>
      <c r="H857" s="11">
        <f t="shared" ca="1" si="175"/>
        <v>1200</v>
      </c>
      <c r="I857" s="11">
        <f t="shared" ca="1" si="176"/>
        <v>0.66274157903505004</v>
      </c>
      <c r="J857" s="11">
        <f t="shared" ca="1" si="177"/>
        <v>10</v>
      </c>
      <c r="K857" s="24">
        <v>96</v>
      </c>
      <c r="L857" s="24">
        <f t="shared" ca="1" si="178"/>
        <v>100</v>
      </c>
      <c r="M857" s="24">
        <v>400</v>
      </c>
      <c r="N857" s="24">
        <v>20</v>
      </c>
      <c r="O857" s="24">
        <f t="shared" ca="1" si="179"/>
        <v>616</v>
      </c>
      <c r="P857" s="24">
        <v>875</v>
      </c>
      <c r="Q857" s="11">
        <f t="shared" ca="1" si="180"/>
        <v>100</v>
      </c>
      <c r="R857" s="24">
        <v>200</v>
      </c>
      <c r="S857" s="24">
        <v>10</v>
      </c>
      <c r="T857" s="24">
        <f t="shared" ca="1" si="181"/>
        <v>1185</v>
      </c>
    </row>
    <row r="858" spans="1:20" x14ac:dyDescent="0.45">
      <c r="A858" s="11">
        <v>845</v>
      </c>
      <c r="B858" s="11">
        <f t="shared" ca="1" si="169"/>
        <v>0.83878272639308682</v>
      </c>
      <c r="C858" s="11">
        <f t="shared" ca="1" si="170"/>
        <v>1600</v>
      </c>
      <c r="D858" s="11">
        <f t="shared" ca="1" si="171"/>
        <v>0.85666529317076634</v>
      </c>
      <c r="E858" s="11">
        <f t="shared" ca="1" si="172"/>
        <v>1700</v>
      </c>
      <c r="F858" s="11">
        <f t="shared" ca="1" si="173"/>
        <v>0.95367921794515764</v>
      </c>
      <c r="G858" s="11">
        <f t="shared" ca="1" si="174"/>
        <v>1900</v>
      </c>
      <c r="H858" s="11">
        <f t="shared" ca="1" si="175"/>
        <v>1600</v>
      </c>
      <c r="I858" s="11">
        <f t="shared" ca="1" si="176"/>
        <v>3.2488021590098892E-2</v>
      </c>
      <c r="J858" s="11">
        <f t="shared" ca="1" si="177"/>
        <v>5</v>
      </c>
      <c r="K858" s="24">
        <v>96</v>
      </c>
      <c r="L858" s="24">
        <f t="shared" ca="1" si="178"/>
        <v>50</v>
      </c>
      <c r="M858" s="24">
        <v>400</v>
      </c>
      <c r="N858" s="24">
        <v>20</v>
      </c>
      <c r="O858" s="24">
        <f t="shared" ca="1" si="179"/>
        <v>566</v>
      </c>
      <c r="P858" s="24">
        <v>876</v>
      </c>
      <c r="Q858" s="11">
        <f t="shared" ca="1" si="180"/>
        <v>50</v>
      </c>
      <c r="R858" s="24">
        <v>200</v>
      </c>
      <c r="S858" s="24">
        <v>10</v>
      </c>
      <c r="T858" s="24">
        <f t="shared" ca="1" si="181"/>
        <v>1136</v>
      </c>
    </row>
    <row r="859" spans="1:20" x14ac:dyDescent="0.45">
      <c r="A859" s="11">
        <v>846</v>
      </c>
      <c r="B859" s="11">
        <f t="shared" ca="1" si="169"/>
        <v>0.16895732706955791</v>
      </c>
      <c r="C859" s="11">
        <f t="shared" ca="1" si="170"/>
        <v>1100</v>
      </c>
      <c r="D859" s="11">
        <f t="shared" ca="1" si="171"/>
        <v>2.0043813601431926E-2</v>
      </c>
      <c r="E859" s="11">
        <f t="shared" ca="1" si="172"/>
        <v>1000</v>
      </c>
      <c r="F859" s="11">
        <f t="shared" ca="1" si="173"/>
        <v>1.6093547994316504E-2</v>
      </c>
      <c r="G859" s="11">
        <f t="shared" ca="1" si="174"/>
        <v>1000</v>
      </c>
      <c r="H859" s="11">
        <f t="shared" ca="1" si="175"/>
        <v>1000</v>
      </c>
      <c r="I859" s="11">
        <f t="shared" ca="1" si="176"/>
        <v>0.66343596264412164</v>
      </c>
      <c r="J859" s="11">
        <f t="shared" ca="1" si="177"/>
        <v>10</v>
      </c>
      <c r="K859" s="24">
        <v>96</v>
      </c>
      <c r="L859" s="24">
        <f t="shared" ca="1" si="178"/>
        <v>100</v>
      </c>
      <c r="M859" s="24">
        <v>400</v>
      </c>
      <c r="N859" s="24">
        <v>20</v>
      </c>
      <c r="O859" s="24">
        <f t="shared" ca="1" si="179"/>
        <v>616</v>
      </c>
      <c r="P859" s="24">
        <v>877</v>
      </c>
      <c r="Q859" s="11">
        <f t="shared" ca="1" si="180"/>
        <v>100</v>
      </c>
      <c r="R859" s="24">
        <v>200</v>
      </c>
      <c r="S859" s="24">
        <v>10</v>
      </c>
      <c r="T859" s="24">
        <f t="shared" ca="1" si="181"/>
        <v>1187</v>
      </c>
    </row>
    <row r="860" spans="1:20" x14ac:dyDescent="0.45">
      <c r="A860" s="11">
        <v>847</v>
      </c>
      <c r="B860" s="11">
        <f t="shared" ca="1" si="169"/>
        <v>0.25681402353382043</v>
      </c>
      <c r="C860" s="11">
        <f t="shared" ca="1" si="170"/>
        <v>1200</v>
      </c>
      <c r="D860" s="11">
        <f t="shared" ca="1" si="171"/>
        <v>0.41690256674415083</v>
      </c>
      <c r="E860" s="11">
        <f t="shared" ca="1" si="172"/>
        <v>1200</v>
      </c>
      <c r="F860" s="11">
        <f t="shared" ca="1" si="173"/>
        <v>0.1551178713337853</v>
      </c>
      <c r="G860" s="11">
        <f t="shared" ca="1" si="174"/>
        <v>1100</v>
      </c>
      <c r="H860" s="11">
        <f t="shared" ca="1" si="175"/>
        <v>1100</v>
      </c>
      <c r="I860" s="11">
        <f t="shared" ca="1" si="176"/>
        <v>0.87886003736933505</v>
      </c>
      <c r="J860" s="11">
        <f t="shared" ca="1" si="177"/>
        <v>10</v>
      </c>
      <c r="K860" s="24">
        <v>96</v>
      </c>
      <c r="L860" s="24">
        <f t="shared" ca="1" si="178"/>
        <v>100</v>
      </c>
      <c r="M860" s="24">
        <v>400</v>
      </c>
      <c r="N860" s="24">
        <v>20</v>
      </c>
      <c r="O860" s="24">
        <f t="shared" ca="1" si="179"/>
        <v>616</v>
      </c>
      <c r="P860" s="24">
        <v>878</v>
      </c>
      <c r="Q860" s="11">
        <f t="shared" ca="1" si="180"/>
        <v>100</v>
      </c>
      <c r="R860" s="24">
        <v>200</v>
      </c>
      <c r="S860" s="24">
        <v>10</v>
      </c>
      <c r="T860" s="24">
        <f t="shared" ca="1" si="181"/>
        <v>1188</v>
      </c>
    </row>
    <row r="861" spans="1:20" x14ac:dyDescent="0.45">
      <c r="A861" s="11">
        <v>848</v>
      </c>
      <c r="B861" s="11">
        <f t="shared" ca="1" si="169"/>
        <v>0.46223103093611173</v>
      </c>
      <c r="C861" s="11">
        <f t="shared" ca="1" si="170"/>
        <v>1200</v>
      </c>
      <c r="D861" s="11">
        <f t="shared" ca="1" si="171"/>
        <v>0.77427110790299913</v>
      </c>
      <c r="E861" s="11">
        <f t="shared" ca="1" si="172"/>
        <v>1500</v>
      </c>
      <c r="F861" s="11">
        <f t="shared" ca="1" si="173"/>
        <v>0.14699143559097405</v>
      </c>
      <c r="G861" s="11">
        <f t="shared" ca="1" si="174"/>
        <v>1100</v>
      </c>
      <c r="H861" s="11">
        <f t="shared" ca="1" si="175"/>
        <v>1100</v>
      </c>
      <c r="I861" s="11">
        <f t="shared" ca="1" si="176"/>
        <v>8.4421486139037993E-2</v>
      </c>
      <c r="J861" s="11">
        <f t="shared" ca="1" si="177"/>
        <v>5</v>
      </c>
      <c r="K861" s="24">
        <v>96</v>
      </c>
      <c r="L861" s="24">
        <f t="shared" ca="1" si="178"/>
        <v>50</v>
      </c>
      <c r="M861" s="24">
        <v>400</v>
      </c>
      <c r="N861" s="24">
        <v>20</v>
      </c>
      <c r="O861" s="24">
        <f t="shared" ca="1" si="179"/>
        <v>566</v>
      </c>
      <c r="P861" s="24">
        <v>879</v>
      </c>
      <c r="Q861" s="11">
        <f t="shared" ca="1" si="180"/>
        <v>50</v>
      </c>
      <c r="R861" s="24">
        <v>200</v>
      </c>
      <c r="S861" s="24">
        <v>10</v>
      </c>
      <c r="T861" s="24">
        <f t="shared" ca="1" si="181"/>
        <v>1139</v>
      </c>
    </row>
    <row r="862" spans="1:20" x14ac:dyDescent="0.45">
      <c r="A862" s="11">
        <v>849</v>
      </c>
      <c r="B862" s="11">
        <f t="shared" ca="1" si="169"/>
        <v>0.76298543594257118</v>
      </c>
      <c r="C862" s="11">
        <f t="shared" ca="1" si="170"/>
        <v>1500</v>
      </c>
      <c r="D862" s="11">
        <f t="shared" ca="1" si="171"/>
        <v>0.6112200611528924</v>
      </c>
      <c r="E862" s="11">
        <f t="shared" ca="1" si="172"/>
        <v>1400</v>
      </c>
      <c r="F862" s="11">
        <f t="shared" ca="1" si="173"/>
        <v>0.86431728897866233</v>
      </c>
      <c r="G862" s="11">
        <f t="shared" ca="1" si="174"/>
        <v>1700</v>
      </c>
      <c r="H862" s="11">
        <f t="shared" ca="1" si="175"/>
        <v>1400</v>
      </c>
      <c r="I862" s="11">
        <f t="shared" ca="1" si="176"/>
        <v>0.21598834144985102</v>
      </c>
      <c r="J862" s="11">
        <f t="shared" ca="1" si="177"/>
        <v>5</v>
      </c>
      <c r="K862" s="24">
        <v>96</v>
      </c>
      <c r="L862" s="24">
        <f t="shared" ca="1" si="178"/>
        <v>50</v>
      </c>
      <c r="M862" s="24">
        <v>400</v>
      </c>
      <c r="N862" s="24">
        <v>20</v>
      </c>
      <c r="O862" s="24">
        <f t="shared" ca="1" si="179"/>
        <v>566</v>
      </c>
      <c r="P862" s="24">
        <v>880</v>
      </c>
      <c r="Q862" s="11">
        <f t="shared" ca="1" si="180"/>
        <v>50</v>
      </c>
      <c r="R862" s="24">
        <v>200</v>
      </c>
      <c r="S862" s="24">
        <v>10</v>
      </c>
      <c r="T862" s="24">
        <f t="shared" ca="1" si="181"/>
        <v>1140</v>
      </c>
    </row>
    <row r="863" spans="1:20" x14ac:dyDescent="0.45">
      <c r="A863" s="11">
        <v>850</v>
      </c>
      <c r="B863" s="11">
        <f t="shared" ca="1" si="169"/>
        <v>0.71727152805443306</v>
      </c>
      <c r="C863" s="11">
        <f t="shared" ca="1" si="170"/>
        <v>1500</v>
      </c>
      <c r="D863" s="11">
        <f t="shared" ca="1" si="171"/>
        <v>0.40633772612569941</v>
      </c>
      <c r="E863" s="11">
        <f t="shared" ca="1" si="172"/>
        <v>1200</v>
      </c>
      <c r="F863" s="11">
        <f t="shared" ca="1" si="173"/>
        <v>0.90630057284349841</v>
      </c>
      <c r="G863" s="11">
        <f t="shared" ca="1" si="174"/>
        <v>1800</v>
      </c>
      <c r="H863" s="11">
        <f t="shared" ca="1" si="175"/>
        <v>1200</v>
      </c>
      <c r="I863" s="11">
        <f t="shared" ca="1" si="176"/>
        <v>0.1934375295012003</v>
      </c>
      <c r="J863" s="11">
        <f t="shared" ca="1" si="177"/>
        <v>5</v>
      </c>
      <c r="K863" s="24">
        <v>96</v>
      </c>
      <c r="L863" s="24">
        <f t="shared" ca="1" si="178"/>
        <v>50</v>
      </c>
      <c r="M863" s="24">
        <v>400</v>
      </c>
      <c r="N863" s="24">
        <v>20</v>
      </c>
      <c r="O863" s="24">
        <f t="shared" ca="1" si="179"/>
        <v>566</v>
      </c>
      <c r="P863" s="24">
        <v>881</v>
      </c>
      <c r="Q863" s="11">
        <f t="shared" ca="1" si="180"/>
        <v>50</v>
      </c>
      <c r="R863" s="24">
        <v>200</v>
      </c>
      <c r="S863" s="24">
        <v>10</v>
      </c>
      <c r="T863" s="24">
        <f t="shared" ca="1" si="181"/>
        <v>1141</v>
      </c>
    </row>
    <row r="864" spans="1:20" x14ac:dyDescent="0.45">
      <c r="A864" s="11">
        <v>851</v>
      </c>
      <c r="B864" s="11">
        <f t="shared" ca="1" si="169"/>
        <v>0.12312389470470264</v>
      </c>
      <c r="C864" s="11">
        <f t="shared" ca="1" si="170"/>
        <v>1100</v>
      </c>
      <c r="D864" s="11">
        <f t="shared" ca="1" si="171"/>
        <v>0.83387522756788202</v>
      </c>
      <c r="E864" s="11">
        <f t="shared" ca="1" si="172"/>
        <v>1600</v>
      </c>
      <c r="F864" s="11">
        <f t="shared" ca="1" si="173"/>
        <v>0.22819637685238159</v>
      </c>
      <c r="G864" s="11">
        <f t="shared" ca="1" si="174"/>
        <v>1100</v>
      </c>
      <c r="H864" s="11">
        <f t="shared" ca="1" si="175"/>
        <v>1100</v>
      </c>
      <c r="I864" s="11">
        <f t="shared" ca="1" si="176"/>
        <v>0.91362562695956928</v>
      </c>
      <c r="J864" s="11">
        <f t="shared" ca="1" si="177"/>
        <v>15</v>
      </c>
      <c r="K864" s="24">
        <v>96</v>
      </c>
      <c r="L864" s="24">
        <f t="shared" ca="1" si="178"/>
        <v>150</v>
      </c>
      <c r="M864" s="24">
        <v>400</v>
      </c>
      <c r="N864" s="24">
        <v>20</v>
      </c>
      <c r="O864" s="24">
        <f t="shared" ca="1" si="179"/>
        <v>666</v>
      </c>
      <c r="P864" s="24">
        <v>882</v>
      </c>
      <c r="Q864" s="11">
        <f t="shared" ca="1" si="180"/>
        <v>150</v>
      </c>
      <c r="R864" s="24">
        <v>200</v>
      </c>
      <c r="S864" s="24">
        <v>10</v>
      </c>
      <c r="T864" s="24">
        <f t="shared" ca="1" si="181"/>
        <v>1242</v>
      </c>
    </row>
    <row r="865" spans="1:20" x14ac:dyDescent="0.45">
      <c r="A865" s="11">
        <v>852</v>
      </c>
      <c r="B865" s="11">
        <f t="shared" ca="1" si="169"/>
        <v>0.98042739379155253</v>
      </c>
      <c r="C865" s="11">
        <f t="shared" ca="1" si="170"/>
        <v>1900</v>
      </c>
      <c r="D865" s="11">
        <f t="shared" ca="1" si="171"/>
        <v>0.8662352149324769</v>
      </c>
      <c r="E865" s="11">
        <f t="shared" ca="1" si="172"/>
        <v>1700</v>
      </c>
      <c r="F865" s="11">
        <f t="shared" ca="1" si="173"/>
        <v>0.8592164919680314</v>
      </c>
      <c r="G865" s="11">
        <f t="shared" ca="1" si="174"/>
        <v>1700</v>
      </c>
      <c r="H865" s="11">
        <f t="shared" ca="1" si="175"/>
        <v>1700</v>
      </c>
      <c r="I865" s="11">
        <f t="shared" ca="1" si="176"/>
        <v>0.21393790451982164</v>
      </c>
      <c r="J865" s="11">
        <f t="shared" ca="1" si="177"/>
        <v>5</v>
      </c>
      <c r="K865" s="24">
        <v>96</v>
      </c>
      <c r="L865" s="24">
        <f t="shared" ca="1" si="178"/>
        <v>50</v>
      </c>
      <c r="M865" s="24">
        <v>400</v>
      </c>
      <c r="N865" s="24">
        <v>20</v>
      </c>
      <c r="O865" s="24">
        <f t="shared" ca="1" si="179"/>
        <v>566</v>
      </c>
      <c r="P865" s="24">
        <v>883</v>
      </c>
      <c r="Q865" s="11">
        <f t="shared" ca="1" si="180"/>
        <v>50</v>
      </c>
      <c r="R865" s="24">
        <v>200</v>
      </c>
      <c r="S865" s="24">
        <v>10</v>
      </c>
      <c r="T865" s="24">
        <f t="shared" ca="1" si="181"/>
        <v>1143</v>
      </c>
    </row>
    <row r="866" spans="1:20" x14ac:dyDescent="0.45">
      <c r="A866" s="11">
        <v>853</v>
      </c>
      <c r="B866" s="11">
        <f t="shared" ca="1" si="169"/>
        <v>0.58958822128695076</v>
      </c>
      <c r="C866" s="11">
        <f t="shared" ca="1" si="170"/>
        <v>1300</v>
      </c>
      <c r="D866" s="11">
        <f t="shared" ca="1" si="171"/>
        <v>0.81295196431430028</v>
      </c>
      <c r="E866" s="11">
        <f t="shared" ca="1" si="172"/>
        <v>1500</v>
      </c>
      <c r="F866" s="11">
        <f t="shared" ca="1" si="173"/>
        <v>0.69554317348990857</v>
      </c>
      <c r="G866" s="11">
        <f t="shared" ca="1" si="174"/>
        <v>1400</v>
      </c>
      <c r="H866" s="11">
        <f t="shared" ca="1" si="175"/>
        <v>1300</v>
      </c>
      <c r="I866" s="11">
        <f t="shared" ca="1" si="176"/>
        <v>0.91575841873432895</v>
      </c>
      <c r="J866" s="11">
        <f t="shared" ca="1" si="177"/>
        <v>15</v>
      </c>
      <c r="K866" s="24">
        <v>96</v>
      </c>
      <c r="L866" s="24">
        <f t="shared" ca="1" si="178"/>
        <v>150</v>
      </c>
      <c r="M866" s="24">
        <v>400</v>
      </c>
      <c r="N866" s="24">
        <v>20</v>
      </c>
      <c r="O866" s="24">
        <f t="shared" ca="1" si="179"/>
        <v>666</v>
      </c>
      <c r="P866" s="24">
        <v>884</v>
      </c>
      <c r="Q866" s="11">
        <f t="shared" ca="1" si="180"/>
        <v>150</v>
      </c>
      <c r="R866" s="24">
        <v>200</v>
      </c>
      <c r="S866" s="24">
        <v>10</v>
      </c>
      <c r="T866" s="24">
        <f t="shared" ca="1" si="181"/>
        <v>1244</v>
      </c>
    </row>
    <row r="867" spans="1:20" x14ac:dyDescent="0.45">
      <c r="A867" s="11">
        <v>854</v>
      </c>
      <c r="B867" s="11">
        <f t="shared" ca="1" si="169"/>
        <v>0.4531092441651986</v>
      </c>
      <c r="C867" s="11">
        <f t="shared" ca="1" si="170"/>
        <v>1200</v>
      </c>
      <c r="D867" s="11">
        <f t="shared" ca="1" si="171"/>
        <v>0.95223302083719441</v>
      </c>
      <c r="E867" s="11">
        <f t="shared" ca="1" si="172"/>
        <v>1900</v>
      </c>
      <c r="F867" s="11">
        <f t="shared" ca="1" si="173"/>
        <v>0.24148115795909153</v>
      </c>
      <c r="G867" s="11">
        <f t="shared" ca="1" si="174"/>
        <v>1200</v>
      </c>
      <c r="H867" s="11">
        <f t="shared" ca="1" si="175"/>
        <v>1200</v>
      </c>
      <c r="I867" s="11">
        <f t="shared" ca="1" si="176"/>
        <v>0.17265878313187277</v>
      </c>
      <c r="J867" s="11">
        <f t="shared" ca="1" si="177"/>
        <v>5</v>
      </c>
      <c r="K867" s="24">
        <v>96</v>
      </c>
      <c r="L867" s="24">
        <f t="shared" ca="1" si="178"/>
        <v>50</v>
      </c>
      <c r="M867" s="24">
        <v>400</v>
      </c>
      <c r="N867" s="24">
        <v>20</v>
      </c>
      <c r="O867" s="24">
        <f t="shared" ca="1" si="179"/>
        <v>566</v>
      </c>
      <c r="P867" s="24">
        <v>885</v>
      </c>
      <c r="Q867" s="11">
        <f t="shared" ca="1" si="180"/>
        <v>50</v>
      </c>
      <c r="R867" s="24">
        <v>200</v>
      </c>
      <c r="S867" s="24">
        <v>10</v>
      </c>
      <c r="T867" s="24">
        <f t="shared" ca="1" si="181"/>
        <v>1145</v>
      </c>
    </row>
    <row r="868" spans="1:20" x14ac:dyDescent="0.45">
      <c r="A868" s="11">
        <v>855</v>
      </c>
      <c r="B868" s="11">
        <f t="shared" ca="1" si="169"/>
        <v>0.54405425241314276</v>
      </c>
      <c r="C868" s="11">
        <f t="shared" ca="1" si="170"/>
        <v>1300</v>
      </c>
      <c r="D868" s="11">
        <f t="shared" ca="1" si="171"/>
        <v>0.858659856039102</v>
      </c>
      <c r="E868" s="11">
        <f t="shared" ca="1" si="172"/>
        <v>1700</v>
      </c>
      <c r="F868" s="11">
        <f t="shared" ca="1" si="173"/>
        <v>0.49454673198202137</v>
      </c>
      <c r="G868" s="11">
        <f t="shared" ca="1" si="174"/>
        <v>1300</v>
      </c>
      <c r="H868" s="11">
        <f t="shared" ca="1" si="175"/>
        <v>1300</v>
      </c>
      <c r="I868" s="11">
        <f t="shared" ca="1" si="176"/>
        <v>0.75351988811816284</v>
      </c>
      <c r="J868" s="11">
        <f t="shared" ca="1" si="177"/>
        <v>10</v>
      </c>
      <c r="K868" s="24">
        <v>96</v>
      </c>
      <c r="L868" s="24">
        <f t="shared" ca="1" si="178"/>
        <v>100</v>
      </c>
      <c r="M868" s="24">
        <v>400</v>
      </c>
      <c r="N868" s="24">
        <v>20</v>
      </c>
      <c r="O868" s="24">
        <f t="shared" ca="1" si="179"/>
        <v>616</v>
      </c>
      <c r="P868" s="24">
        <v>886</v>
      </c>
      <c r="Q868" s="11">
        <f t="shared" ca="1" si="180"/>
        <v>100</v>
      </c>
      <c r="R868" s="24">
        <v>200</v>
      </c>
      <c r="S868" s="24">
        <v>10</v>
      </c>
      <c r="T868" s="24">
        <f t="shared" ca="1" si="181"/>
        <v>1196</v>
      </c>
    </row>
    <row r="869" spans="1:20" x14ac:dyDescent="0.45">
      <c r="A869" s="11">
        <v>856</v>
      </c>
      <c r="B869" s="11">
        <f t="shared" ca="1" si="169"/>
        <v>0.81408079789897814</v>
      </c>
      <c r="C869" s="11">
        <f t="shared" ca="1" si="170"/>
        <v>1500</v>
      </c>
      <c r="D869" s="11">
        <f t="shared" ca="1" si="171"/>
        <v>0.21133416842061781</v>
      </c>
      <c r="E869" s="11">
        <f t="shared" ca="1" si="172"/>
        <v>1100</v>
      </c>
      <c r="F869" s="11">
        <f t="shared" ca="1" si="173"/>
        <v>0.34459441821323522</v>
      </c>
      <c r="G869" s="11">
        <f t="shared" ca="1" si="174"/>
        <v>1200</v>
      </c>
      <c r="H869" s="11">
        <f t="shared" ca="1" si="175"/>
        <v>1100</v>
      </c>
      <c r="I869" s="11">
        <f t="shared" ca="1" si="176"/>
        <v>0.9493849865422852</v>
      </c>
      <c r="J869" s="11">
        <f t="shared" ca="1" si="177"/>
        <v>15</v>
      </c>
      <c r="K869" s="24">
        <v>96</v>
      </c>
      <c r="L869" s="24">
        <f t="shared" ca="1" si="178"/>
        <v>150</v>
      </c>
      <c r="M869" s="24">
        <v>400</v>
      </c>
      <c r="N869" s="24">
        <v>20</v>
      </c>
      <c r="O869" s="24">
        <f t="shared" ca="1" si="179"/>
        <v>666</v>
      </c>
      <c r="P869" s="24">
        <v>887</v>
      </c>
      <c r="Q869" s="11">
        <f t="shared" ca="1" si="180"/>
        <v>150</v>
      </c>
      <c r="R869" s="24">
        <v>200</v>
      </c>
      <c r="S869" s="24">
        <v>10</v>
      </c>
      <c r="T869" s="24">
        <f t="shared" ca="1" si="181"/>
        <v>1247</v>
      </c>
    </row>
    <row r="870" spans="1:20" x14ac:dyDescent="0.45">
      <c r="A870" s="11">
        <v>857</v>
      </c>
      <c r="B870" s="11">
        <f t="shared" ca="1" si="169"/>
        <v>0.66593748472208858</v>
      </c>
      <c r="C870" s="11">
        <f t="shared" ca="1" si="170"/>
        <v>1400</v>
      </c>
      <c r="D870" s="11">
        <f t="shared" ca="1" si="171"/>
        <v>0.97818155007315566</v>
      </c>
      <c r="E870" s="11">
        <f t="shared" ca="1" si="172"/>
        <v>1900</v>
      </c>
      <c r="F870" s="11">
        <f t="shared" ca="1" si="173"/>
        <v>0.52604540328581317</v>
      </c>
      <c r="G870" s="11">
        <f t="shared" ca="1" si="174"/>
        <v>1300</v>
      </c>
      <c r="H870" s="11">
        <f t="shared" ca="1" si="175"/>
        <v>1300</v>
      </c>
      <c r="I870" s="11">
        <f t="shared" ca="1" si="176"/>
        <v>0.43557602036055987</v>
      </c>
      <c r="J870" s="11">
        <f t="shared" ca="1" si="177"/>
        <v>5</v>
      </c>
      <c r="K870" s="24">
        <v>96</v>
      </c>
      <c r="L870" s="24">
        <f t="shared" ca="1" si="178"/>
        <v>50</v>
      </c>
      <c r="M870" s="24">
        <v>400</v>
      </c>
      <c r="N870" s="24">
        <v>20</v>
      </c>
      <c r="O870" s="24">
        <f t="shared" ca="1" si="179"/>
        <v>566</v>
      </c>
      <c r="P870" s="24">
        <v>888</v>
      </c>
      <c r="Q870" s="11">
        <f t="shared" ca="1" si="180"/>
        <v>50</v>
      </c>
      <c r="R870" s="24">
        <v>200</v>
      </c>
      <c r="S870" s="24">
        <v>10</v>
      </c>
      <c r="T870" s="24">
        <f t="shared" ca="1" si="181"/>
        <v>1148</v>
      </c>
    </row>
    <row r="871" spans="1:20" x14ac:dyDescent="0.45">
      <c r="A871" s="11">
        <v>858</v>
      </c>
      <c r="B871" s="11">
        <f t="shared" ca="1" si="169"/>
        <v>0.95363201401391207</v>
      </c>
      <c r="C871" s="11">
        <f t="shared" ca="1" si="170"/>
        <v>1900</v>
      </c>
      <c r="D871" s="11">
        <f t="shared" ca="1" si="171"/>
        <v>0.42778327929465898</v>
      </c>
      <c r="E871" s="11">
        <f t="shared" ca="1" si="172"/>
        <v>1200</v>
      </c>
      <c r="F871" s="11">
        <f t="shared" ca="1" si="173"/>
        <v>0.78270729361469582</v>
      </c>
      <c r="G871" s="11">
        <f t="shared" ca="1" si="174"/>
        <v>1500</v>
      </c>
      <c r="H871" s="11">
        <f t="shared" ca="1" si="175"/>
        <v>1200</v>
      </c>
      <c r="I871" s="11">
        <f t="shared" ca="1" si="176"/>
        <v>0.27380973816007292</v>
      </c>
      <c r="J871" s="11">
        <f t="shared" ca="1" si="177"/>
        <v>5</v>
      </c>
      <c r="K871" s="24">
        <v>96</v>
      </c>
      <c r="L871" s="24">
        <f t="shared" ca="1" si="178"/>
        <v>50</v>
      </c>
      <c r="M871" s="24">
        <v>400</v>
      </c>
      <c r="N871" s="24">
        <v>20</v>
      </c>
      <c r="O871" s="24">
        <f t="shared" ca="1" si="179"/>
        <v>566</v>
      </c>
      <c r="P871" s="24">
        <v>889</v>
      </c>
      <c r="Q871" s="11">
        <f t="shared" ca="1" si="180"/>
        <v>50</v>
      </c>
      <c r="R871" s="24">
        <v>200</v>
      </c>
      <c r="S871" s="24">
        <v>10</v>
      </c>
      <c r="T871" s="24">
        <f t="shared" ca="1" si="181"/>
        <v>1149</v>
      </c>
    </row>
    <row r="872" spans="1:20" x14ac:dyDescent="0.45">
      <c r="A872" s="11">
        <v>859</v>
      </c>
      <c r="B872" s="11">
        <f t="shared" ca="1" si="169"/>
        <v>0.44323523342954585</v>
      </c>
      <c r="C872" s="11">
        <f t="shared" ca="1" si="170"/>
        <v>1200</v>
      </c>
      <c r="D872" s="11">
        <f t="shared" ca="1" si="171"/>
        <v>0.19414184722905337</v>
      </c>
      <c r="E872" s="11">
        <f t="shared" ca="1" si="172"/>
        <v>1100</v>
      </c>
      <c r="F872" s="11">
        <f t="shared" ca="1" si="173"/>
        <v>0.43861111684190601</v>
      </c>
      <c r="G872" s="11">
        <f t="shared" ca="1" si="174"/>
        <v>1200</v>
      </c>
      <c r="H872" s="11">
        <f t="shared" ca="1" si="175"/>
        <v>1100</v>
      </c>
      <c r="I872" s="11">
        <f t="shared" ca="1" si="176"/>
        <v>0.8839292116488805</v>
      </c>
      <c r="J872" s="11">
        <f t="shared" ca="1" si="177"/>
        <v>10</v>
      </c>
      <c r="K872" s="24">
        <v>96</v>
      </c>
      <c r="L872" s="24">
        <f t="shared" ca="1" si="178"/>
        <v>100</v>
      </c>
      <c r="M872" s="24">
        <v>400</v>
      </c>
      <c r="N872" s="24">
        <v>20</v>
      </c>
      <c r="O872" s="24">
        <f t="shared" ca="1" si="179"/>
        <v>616</v>
      </c>
      <c r="P872" s="24">
        <v>890</v>
      </c>
      <c r="Q872" s="11">
        <f t="shared" ca="1" si="180"/>
        <v>100</v>
      </c>
      <c r="R872" s="24">
        <v>200</v>
      </c>
      <c r="S872" s="24">
        <v>10</v>
      </c>
      <c r="T872" s="24">
        <f t="shared" ca="1" si="181"/>
        <v>1200</v>
      </c>
    </row>
    <row r="873" spans="1:20" x14ac:dyDescent="0.45">
      <c r="A873" s="11">
        <v>860</v>
      </c>
      <c r="B873" s="11">
        <f t="shared" ca="1" si="169"/>
        <v>5.0914800715647468E-2</v>
      </c>
      <c r="C873" s="11">
        <f t="shared" ca="1" si="170"/>
        <v>1000</v>
      </c>
      <c r="D873" s="11">
        <f t="shared" ca="1" si="171"/>
        <v>0.3624328711928918</v>
      </c>
      <c r="E873" s="11">
        <f t="shared" ca="1" si="172"/>
        <v>1200</v>
      </c>
      <c r="F873" s="11">
        <f t="shared" ca="1" si="173"/>
        <v>0.11176116181870543</v>
      </c>
      <c r="G873" s="11">
        <f t="shared" ca="1" si="174"/>
        <v>1100</v>
      </c>
      <c r="H873" s="11">
        <f t="shared" ca="1" si="175"/>
        <v>1000</v>
      </c>
      <c r="I873" s="11">
        <f t="shared" ca="1" si="176"/>
        <v>0.30934607958584648</v>
      </c>
      <c r="J873" s="11">
        <f t="shared" ca="1" si="177"/>
        <v>5</v>
      </c>
      <c r="K873" s="24">
        <v>96</v>
      </c>
      <c r="L873" s="24">
        <f t="shared" ca="1" si="178"/>
        <v>50</v>
      </c>
      <c r="M873" s="24">
        <v>400</v>
      </c>
      <c r="N873" s="24">
        <v>20</v>
      </c>
      <c r="O873" s="24">
        <f t="shared" ca="1" si="179"/>
        <v>566</v>
      </c>
      <c r="P873" s="24">
        <v>891</v>
      </c>
      <c r="Q873" s="11">
        <f t="shared" ca="1" si="180"/>
        <v>50</v>
      </c>
      <c r="R873" s="24">
        <v>200</v>
      </c>
      <c r="S873" s="24">
        <v>10</v>
      </c>
      <c r="T873" s="24">
        <f t="shared" ca="1" si="181"/>
        <v>1151</v>
      </c>
    </row>
    <row r="874" spans="1:20" x14ac:dyDescent="0.45">
      <c r="A874" s="11">
        <v>861</v>
      </c>
      <c r="B874" s="11">
        <f t="shared" ca="1" si="169"/>
        <v>0.69031687946282183</v>
      </c>
      <c r="C874" s="11">
        <f t="shared" ca="1" si="170"/>
        <v>1400</v>
      </c>
      <c r="D874" s="11">
        <f t="shared" ca="1" si="171"/>
        <v>0.23650124030996944</v>
      </c>
      <c r="E874" s="11">
        <f t="shared" ca="1" si="172"/>
        <v>1200</v>
      </c>
      <c r="F874" s="11">
        <f t="shared" ca="1" si="173"/>
        <v>0.23634660862529178</v>
      </c>
      <c r="G874" s="11">
        <f t="shared" ca="1" si="174"/>
        <v>1200</v>
      </c>
      <c r="H874" s="11">
        <f t="shared" ca="1" si="175"/>
        <v>1200</v>
      </c>
      <c r="I874" s="11">
        <f t="shared" ca="1" si="176"/>
        <v>0.4008915744537177</v>
      </c>
      <c r="J874" s="11">
        <f t="shared" ca="1" si="177"/>
        <v>5</v>
      </c>
      <c r="K874" s="24">
        <v>96</v>
      </c>
      <c r="L874" s="24">
        <f t="shared" ca="1" si="178"/>
        <v>50</v>
      </c>
      <c r="M874" s="24">
        <v>400</v>
      </c>
      <c r="N874" s="24">
        <v>20</v>
      </c>
      <c r="O874" s="24">
        <f t="shared" ca="1" si="179"/>
        <v>566</v>
      </c>
      <c r="P874" s="24">
        <v>892</v>
      </c>
      <c r="Q874" s="11">
        <f t="shared" ca="1" si="180"/>
        <v>50</v>
      </c>
      <c r="R874" s="24">
        <v>200</v>
      </c>
      <c r="S874" s="24">
        <v>10</v>
      </c>
      <c r="T874" s="24">
        <f t="shared" ca="1" si="181"/>
        <v>1152</v>
      </c>
    </row>
    <row r="875" spans="1:20" x14ac:dyDescent="0.45">
      <c r="A875" s="11">
        <v>862</v>
      </c>
      <c r="B875" s="11">
        <f t="shared" ca="1" si="169"/>
        <v>0.69708886599780129</v>
      </c>
      <c r="C875" s="11">
        <f t="shared" ca="1" si="170"/>
        <v>1400</v>
      </c>
      <c r="D875" s="11">
        <f t="shared" ca="1" si="171"/>
        <v>0.57270225416758846</v>
      </c>
      <c r="E875" s="11">
        <f t="shared" ca="1" si="172"/>
        <v>1300</v>
      </c>
      <c r="F875" s="11">
        <f t="shared" ca="1" si="173"/>
        <v>0.25841052084550831</v>
      </c>
      <c r="G875" s="11">
        <f t="shared" ca="1" si="174"/>
        <v>1200</v>
      </c>
      <c r="H875" s="11">
        <f t="shared" ca="1" si="175"/>
        <v>1200</v>
      </c>
      <c r="I875" s="11">
        <f t="shared" ca="1" si="176"/>
        <v>0.25319767902819756</v>
      </c>
      <c r="J875" s="11">
        <f t="shared" ca="1" si="177"/>
        <v>5</v>
      </c>
      <c r="K875" s="24">
        <v>96</v>
      </c>
      <c r="L875" s="24">
        <f t="shared" ca="1" si="178"/>
        <v>50</v>
      </c>
      <c r="M875" s="24">
        <v>400</v>
      </c>
      <c r="N875" s="24">
        <v>20</v>
      </c>
      <c r="O875" s="24">
        <f t="shared" ca="1" si="179"/>
        <v>566</v>
      </c>
      <c r="P875" s="24">
        <v>893</v>
      </c>
      <c r="Q875" s="11">
        <f t="shared" ca="1" si="180"/>
        <v>50</v>
      </c>
      <c r="R875" s="24">
        <v>200</v>
      </c>
      <c r="S875" s="24">
        <v>10</v>
      </c>
      <c r="T875" s="24">
        <f t="shared" ca="1" si="181"/>
        <v>1153</v>
      </c>
    </row>
    <row r="876" spans="1:20" x14ac:dyDescent="0.45">
      <c r="A876" s="11">
        <v>863</v>
      </c>
      <c r="B876" s="11">
        <f t="shared" ca="1" si="169"/>
        <v>0.14061945825814881</v>
      </c>
      <c r="C876" s="11">
        <f t="shared" ca="1" si="170"/>
        <v>1100</v>
      </c>
      <c r="D876" s="11">
        <f t="shared" ca="1" si="171"/>
        <v>0.31119336689848554</v>
      </c>
      <c r="E876" s="11">
        <f t="shared" ca="1" si="172"/>
        <v>1200</v>
      </c>
      <c r="F876" s="11">
        <f t="shared" ca="1" si="173"/>
        <v>0.91329484402626637</v>
      </c>
      <c r="G876" s="11">
        <f t="shared" ca="1" si="174"/>
        <v>1800</v>
      </c>
      <c r="H876" s="11">
        <f t="shared" ca="1" si="175"/>
        <v>1100</v>
      </c>
      <c r="I876" s="11">
        <f t="shared" ca="1" si="176"/>
        <v>0.60719508925929211</v>
      </c>
      <c r="J876" s="11">
        <f t="shared" ca="1" si="177"/>
        <v>10</v>
      </c>
      <c r="K876" s="24">
        <v>96</v>
      </c>
      <c r="L876" s="24">
        <f t="shared" ca="1" si="178"/>
        <v>100</v>
      </c>
      <c r="M876" s="24">
        <v>400</v>
      </c>
      <c r="N876" s="24">
        <v>20</v>
      </c>
      <c r="O876" s="24">
        <f t="shared" ca="1" si="179"/>
        <v>616</v>
      </c>
      <c r="P876" s="24">
        <v>894</v>
      </c>
      <c r="Q876" s="11">
        <f t="shared" ca="1" si="180"/>
        <v>100</v>
      </c>
      <c r="R876" s="24">
        <v>200</v>
      </c>
      <c r="S876" s="24">
        <v>10</v>
      </c>
      <c r="T876" s="24">
        <f t="shared" ca="1" si="181"/>
        <v>1204</v>
      </c>
    </row>
    <row r="877" spans="1:20" x14ac:dyDescent="0.45">
      <c r="A877" s="11">
        <v>864</v>
      </c>
      <c r="B877" s="11">
        <f t="shared" ca="1" si="169"/>
        <v>0.34241346097341119</v>
      </c>
      <c r="C877" s="11">
        <f t="shared" ca="1" si="170"/>
        <v>1200</v>
      </c>
      <c r="D877" s="11">
        <f t="shared" ca="1" si="171"/>
        <v>0.94326231438654906</v>
      </c>
      <c r="E877" s="11">
        <f t="shared" ca="1" si="172"/>
        <v>1800</v>
      </c>
      <c r="F877" s="11">
        <f t="shared" ca="1" si="173"/>
        <v>0.45896776481522028</v>
      </c>
      <c r="G877" s="11">
        <f t="shared" ca="1" si="174"/>
        <v>1200</v>
      </c>
      <c r="H877" s="11">
        <f t="shared" ca="1" si="175"/>
        <v>1200</v>
      </c>
      <c r="I877" s="11">
        <f t="shared" ca="1" si="176"/>
        <v>0.37733052388829957</v>
      </c>
      <c r="J877" s="11">
        <f t="shared" ca="1" si="177"/>
        <v>5</v>
      </c>
      <c r="K877" s="24">
        <v>96</v>
      </c>
      <c r="L877" s="24">
        <f t="shared" ca="1" si="178"/>
        <v>50</v>
      </c>
      <c r="M877" s="24">
        <v>400</v>
      </c>
      <c r="N877" s="24">
        <v>20</v>
      </c>
      <c r="O877" s="24">
        <f t="shared" ca="1" si="179"/>
        <v>566</v>
      </c>
      <c r="P877" s="24">
        <v>895</v>
      </c>
      <c r="Q877" s="11">
        <f t="shared" ca="1" si="180"/>
        <v>50</v>
      </c>
      <c r="R877" s="24">
        <v>200</v>
      </c>
      <c r="S877" s="24">
        <v>10</v>
      </c>
      <c r="T877" s="24">
        <f t="shared" ca="1" si="181"/>
        <v>1155</v>
      </c>
    </row>
    <row r="878" spans="1:20" x14ac:dyDescent="0.45">
      <c r="A878" s="11">
        <v>865</v>
      </c>
      <c r="B878" s="11">
        <f t="shared" ca="1" si="169"/>
        <v>0.52411118793452183</v>
      </c>
      <c r="C878" s="11">
        <f t="shared" ca="1" si="170"/>
        <v>1300</v>
      </c>
      <c r="D878" s="11">
        <f t="shared" ca="1" si="171"/>
        <v>0.84665390163307475</v>
      </c>
      <c r="E878" s="11">
        <f t="shared" ca="1" si="172"/>
        <v>1700</v>
      </c>
      <c r="F878" s="11">
        <f t="shared" ca="1" si="173"/>
        <v>6.3155137085469049E-2</v>
      </c>
      <c r="G878" s="11">
        <f t="shared" ca="1" si="174"/>
        <v>1000</v>
      </c>
      <c r="H878" s="11">
        <f t="shared" ca="1" si="175"/>
        <v>1000</v>
      </c>
      <c r="I878" s="11">
        <f t="shared" ca="1" si="176"/>
        <v>0.52457441918402958</v>
      </c>
      <c r="J878" s="11">
        <f t="shared" ca="1" si="177"/>
        <v>5</v>
      </c>
      <c r="K878" s="24">
        <v>96</v>
      </c>
      <c r="L878" s="24">
        <f t="shared" ca="1" si="178"/>
        <v>50</v>
      </c>
      <c r="M878" s="24">
        <v>400</v>
      </c>
      <c r="N878" s="24">
        <v>20</v>
      </c>
      <c r="O878" s="24">
        <f t="shared" ca="1" si="179"/>
        <v>566</v>
      </c>
      <c r="P878" s="24">
        <v>896</v>
      </c>
      <c r="Q878" s="11">
        <f t="shared" ca="1" si="180"/>
        <v>50</v>
      </c>
      <c r="R878" s="24">
        <v>200</v>
      </c>
      <c r="S878" s="24">
        <v>10</v>
      </c>
      <c r="T878" s="24">
        <f t="shared" ca="1" si="181"/>
        <v>1156</v>
      </c>
    </row>
    <row r="879" spans="1:20" x14ac:dyDescent="0.45">
      <c r="A879" s="11">
        <v>866</v>
      </c>
      <c r="B879" s="11">
        <f t="shared" ca="1" si="169"/>
        <v>0.66948815058622835</v>
      </c>
      <c r="C879" s="11">
        <f t="shared" ca="1" si="170"/>
        <v>1400</v>
      </c>
      <c r="D879" s="11">
        <f t="shared" ca="1" si="171"/>
        <v>0.74939454397706562</v>
      </c>
      <c r="E879" s="11">
        <f t="shared" ca="1" si="172"/>
        <v>1500</v>
      </c>
      <c r="F879" s="11">
        <f t="shared" ca="1" si="173"/>
        <v>0.65468589437327995</v>
      </c>
      <c r="G879" s="11">
        <f t="shared" ca="1" si="174"/>
        <v>1400</v>
      </c>
      <c r="H879" s="11">
        <f t="shared" ca="1" si="175"/>
        <v>1400</v>
      </c>
      <c r="I879" s="11">
        <f t="shared" ca="1" si="176"/>
        <v>0.2181708646144529</v>
      </c>
      <c r="J879" s="11">
        <f t="shared" ca="1" si="177"/>
        <v>5</v>
      </c>
      <c r="K879" s="24">
        <v>96</v>
      </c>
      <c r="L879" s="24">
        <f t="shared" ca="1" si="178"/>
        <v>50</v>
      </c>
      <c r="M879" s="24">
        <v>400</v>
      </c>
      <c r="N879" s="24">
        <v>20</v>
      </c>
      <c r="O879" s="24">
        <f t="shared" ca="1" si="179"/>
        <v>566</v>
      </c>
      <c r="P879" s="24">
        <v>897</v>
      </c>
      <c r="Q879" s="11">
        <f t="shared" ca="1" si="180"/>
        <v>50</v>
      </c>
      <c r="R879" s="24">
        <v>200</v>
      </c>
      <c r="S879" s="24">
        <v>10</v>
      </c>
      <c r="T879" s="24">
        <f t="shared" ca="1" si="181"/>
        <v>1157</v>
      </c>
    </row>
    <row r="880" spans="1:20" x14ac:dyDescent="0.45">
      <c r="A880" s="11">
        <v>867</v>
      </c>
      <c r="B880" s="11">
        <f t="shared" ca="1" si="169"/>
        <v>0.98428735028816927</v>
      </c>
      <c r="C880" s="11">
        <f t="shared" ca="1" si="170"/>
        <v>1900</v>
      </c>
      <c r="D880" s="11">
        <f t="shared" ca="1" si="171"/>
        <v>0.39908457450797963</v>
      </c>
      <c r="E880" s="11">
        <f t="shared" ca="1" si="172"/>
        <v>1200</v>
      </c>
      <c r="F880" s="11">
        <f t="shared" ca="1" si="173"/>
        <v>0.23710221947347221</v>
      </c>
      <c r="G880" s="11">
        <f t="shared" ca="1" si="174"/>
        <v>1200</v>
      </c>
      <c r="H880" s="11">
        <f t="shared" ca="1" si="175"/>
        <v>1200</v>
      </c>
      <c r="I880" s="11">
        <f t="shared" ca="1" si="176"/>
        <v>0.2854133578206951</v>
      </c>
      <c r="J880" s="11">
        <f t="shared" ca="1" si="177"/>
        <v>5</v>
      </c>
      <c r="K880" s="24">
        <v>96</v>
      </c>
      <c r="L880" s="24">
        <f t="shared" ca="1" si="178"/>
        <v>50</v>
      </c>
      <c r="M880" s="24">
        <v>400</v>
      </c>
      <c r="N880" s="24">
        <v>20</v>
      </c>
      <c r="O880" s="24">
        <f t="shared" ca="1" si="179"/>
        <v>566</v>
      </c>
      <c r="P880" s="24">
        <v>898</v>
      </c>
      <c r="Q880" s="11">
        <f t="shared" ca="1" si="180"/>
        <v>50</v>
      </c>
      <c r="R880" s="24">
        <v>200</v>
      </c>
      <c r="S880" s="24">
        <v>10</v>
      </c>
      <c r="T880" s="24">
        <f t="shared" ca="1" si="181"/>
        <v>1158</v>
      </c>
    </row>
    <row r="881" spans="1:20" x14ac:dyDescent="0.45">
      <c r="A881" s="11">
        <v>868</v>
      </c>
      <c r="B881" s="11">
        <f t="shared" ca="1" si="169"/>
        <v>0.38589665279160679</v>
      </c>
      <c r="C881" s="11">
        <f t="shared" ca="1" si="170"/>
        <v>1200</v>
      </c>
      <c r="D881" s="11">
        <f t="shared" ca="1" si="171"/>
        <v>0.56760916562139985</v>
      </c>
      <c r="E881" s="11">
        <f t="shared" ca="1" si="172"/>
        <v>1300</v>
      </c>
      <c r="F881" s="11">
        <f t="shared" ca="1" si="173"/>
        <v>0.39991506539057819</v>
      </c>
      <c r="G881" s="11">
        <f t="shared" ca="1" si="174"/>
        <v>1200</v>
      </c>
      <c r="H881" s="11">
        <f t="shared" ca="1" si="175"/>
        <v>1200</v>
      </c>
      <c r="I881" s="11">
        <f t="shared" ca="1" si="176"/>
        <v>0.91241514613215302</v>
      </c>
      <c r="J881" s="11">
        <f t="shared" ca="1" si="177"/>
        <v>15</v>
      </c>
      <c r="K881" s="24">
        <v>96</v>
      </c>
      <c r="L881" s="24">
        <f t="shared" ca="1" si="178"/>
        <v>150</v>
      </c>
      <c r="M881" s="24">
        <v>400</v>
      </c>
      <c r="N881" s="24">
        <v>20</v>
      </c>
      <c r="O881" s="24">
        <f t="shared" ca="1" si="179"/>
        <v>666</v>
      </c>
      <c r="P881" s="24">
        <v>899</v>
      </c>
      <c r="Q881" s="11">
        <f t="shared" ca="1" si="180"/>
        <v>150</v>
      </c>
      <c r="R881" s="24">
        <v>200</v>
      </c>
      <c r="S881" s="24">
        <v>10</v>
      </c>
      <c r="T881" s="24">
        <f t="shared" ca="1" si="181"/>
        <v>1259</v>
      </c>
    </row>
    <row r="882" spans="1:20" x14ac:dyDescent="0.45">
      <c r="A882" s="11">
        <v>869</v>
      </c>
      <c r="B882" s="11">
        <f t="shared" ca="1" si="169"/>
        <v>0.1433740910744864</v>
      </c>
      <c r="C882" s="11">
        <f t="shared" ca="1" si="170"/>
        <v>1100</v>
      </c>
      <c r="D882" s="11">
        <f t="shared" ca="1" si="171"/>
        <v>0.39849536273264285</v>
      </c>
      <c r="E882" s="11">
        <f t="shared" ca="1" si="172"/>
        <v>1200</v>
      </c>
      <c r="F882" s="11">
        <f t="shared" ca="1" si="173"/>
        <v>0.22963921355817218</v>
      </c>
      <c r="G882" s="11">
        <f t="shared" ca="1" si="174"/>
        <v>1100</v>
      </c>
      <c r="H882" s="11">
        <f t="shared" ca="1" si="175"/>
        <v>1100</v>
      </c>
      <c r="I882" s="11">
        <f t="shared" ca="1" si="176"/>
        <v>0.93532667786944146</v>
      </c>
      <c r="J882" s="11">
        <f t="shared" ca="1" si="177"/>
        <v>15</v>
      </c>
      <c r="K882" s="24">
        <v>96</v>
      </c>
      <c r="L882" s="24">
        <f t="shared" ca="1" si="178"/>
        <v>150</v>
      </c>
      <c r="M882" s="24">
        <v>400</v>
      </c>
      <c r="N882" s="24">
        <v>20</v>
      </c>
      <c r="O882" s="24">
        <f t="shared" ca="1" si="179"/>
        <v>666</v>
      </c>
      <c r="P882" s="24">
        <v>900</v>
      </c>
      <c r="Q882" s="11">
        <f t="shared" ca="1" si="180"/>
        <v>150</v>
      </c>
      <c r="R882" s="24">
        <v>200</v>
      </c>
      <c r="S882" s="24">
        <v>10</v>
      </c>
      <c r="T882" s="24">
        <f t="shared" ca="1" si="181"/>
        <v>1260</v>
      </c>
    </row>
    <row r="883" spans="1:20" x14ac:dyDescent="0.45">
      <c r="A883" s="11">
        <v>870</v>
      </c>
      <c r="B883" s="11">
        <f t="shared" ca="1" si="169"/>
        <v>0.48273950955670353</v>
      </c>
      <c r="C883" s="11">
        <f t="shared" ca="1" si="170"/>
        <v>1300</v>
      </c>
      <c r="D883" s="11">
        <f t="shared" ca="1" si="171"/>
        <v>0.60514002889901564</v>
      </c>
      <c r="E883" s="11">
        <f t="shared" ca="1" si="172"/>
        <v>1300</v>
      </c>
      <c r="F883" s="11">
        <f t="shared" ca="1" si="173"/>
        <v>0.62162815140511807</v>
      </c>
      <c r="G883" s="11">
        <f t="shared" ca="1" si="174"/>
        <v>1400</v>
      </c>
      <c r="H883" s="11">
        <f t="shared" ca="1" si="175"/>
        <v>1300</v>
      </c>
      <c r="I883" s="11">
        <f t="shared" ca="1" si="176"/>
        <v>9.9756260385193807E-2</v>
      </c>
      <c r="J883" s="11">
        <f t="shared" ca="1" si="177"/>
        <v>5</v>
      </c>
      <c r="K883" s="24">
        <v>96</v>
      </c>
      <c r="L883" s="24">
        <f t="shared" ca="1" si="178"/>
        <v>50</v>
      </c>
      <c r="M883" s="24">
        <v>400</v>
      </c>
      <c r="N883" s="24">
        <v>20</v>
      </c>
      <c r="O883" s="24">
        <f t="shared" ca="1" si="179"/>
        <v>566</v>
      </c>
      <c r="P883" s="24">
        <v>901</v>
      </c>
      <c r="Q883" s="11">
        <f t="shared" ca="1" si="180"/>
        <v>50</v>
      </c>
      <c r="R883" s="24">
        <v>200</v>
      </c>
      <c r="S883" s="24">
        <v>10</v>
      </c>
      <c r="T883" s="24">
        <f t="shared" ca="1" si="181"/>
        <v>1161</v>
      </c>
    </row>
    <row r="884" spans="1:20" x14ac:dyDescent="0.45">
      <c r="A884" s="11">
        <v>871</v>
      </c>
      <c r="B884" s="11">
        <f t="shared" ca="1" si="169"/>
        <v>0.31477428773702465</v>
      </c>
      <c r="C884" s="11">
        <f t="shared" ca="1" si="170"/>
        <v>1200</v>
      </c>
      <c r="D884" s="11">
        <f t="shared" ca="1" si="171"/>
        <v>0.62704767149458263</v>
      </c>
      <c r="E884" s="11">
        <f t="shared" ca="1" si="172"/>
        <v>1400</v>
      </c>
      <c r="F884" s="11">
        <f t="shared" ca="1" si="173"/>
        <v>0.79662728756026679</v>
      </c>
      <c r="G884" s="11">
        <f t="shared" ca="1" si="174"/>
        <v>1500</v>
      </c>
      <c r="H884" s="11">
        <f t="shared" ca="1" si="175"/>
        <v>1200</v>
      </c>
      <c r="I884" s="11">
        <f t="shared" ca="1" si="176"/>
        <v>0.13705937630251841</v>
      </c>
      <c r="J884" s="11">
        <f t="shared" ca="1" si="177"/>
        <v>5</v>
      </c>
      <c r="K884" s="24">
        <v>96</v>
      </c>
      <c r="L884" s="24">
        <f t="shared" ca="1" si="178"/>
        <v>50</v>
      </c>
      <c r="M884" s="24">
        <v>400</v>
      </c>
      <c r="N884" s="24">
        <v>20</v>
      </c>
      <c r="O884" s="24">
        <f t="shared" ca="1" si="179"/>
        <v>566</v>
      </c>
      <c r="P884" s="24">
        <v>902</v>
      </c>
      <c r="Q884" s="11">
        <f t="shared" ca="1" si="180"/>
        <v>50</v>
      </c>
      <c r="R884" s="24">
        <v>200</v>
      </c>
      <c r="S884" s="24">
        <v>10</v>
      </c>
      <c r="T884" s="24">
        <f t="shared" ca="1" si="181"/>
        <v>1162</v>
      </c>
    </row>
    <row r="885" spans="1:20" x14ac:dyDescent="0.45">
      <c r="A885" s="11">
        <v>872</v>
      </c>
      <c r="B885" s="11">
        <f t="shared" ca="1" si="169"/>
        <v>0.53256685615590171</v>
      </c>
      <c r="C885" s="11">
        <f t="shared" ca="1" si="170"/>
        <v>1300</v>
      </c>
      <c r="D885" s="11">
        <f t="shared" ca="1" si="171"/>
        <v>0.80818584585700748</v>
      </c>
      <c r="E885" s="11">
        <f t="shared" ca="1" si="172"/>
        <v>1500</v>
      </c>
      <c r="F885" s="11">
        <f t="shared" ca="1" si="173"/>
        <v>0.86382158815341248</v>
      </c>
      <c r="G885" s="11">
        <f t="shared" ca="1" si="174"/>
        <v>1700</v>
      </c>
      <c r="H885" s="11">
        <f t="shared" ca="1" si="175"/>
        <v>1300</v>
      </c>
      <c r="I885" s="11">
        <f t="shared" ca="1" si="176"/>
        <v>0.9632901008833703</v>
      </c>
      <c r="J885" s="11">
        <f t="shared" ca="1" si="177"/>
        <v>15</v>
      </c>
      <c r="K885" s="24">
        <v>96</v>
      </c>
      <c r="L885" s="24">
        <f t="shared" ca="1" si="178"/>
        <v>150</v>
      </c>
      <c r="M885" s="24">
        <v>400</v>
      </c>
      <c r="N885" s="24">
        <v>20</v>
      </c>
      <c r="O885" s="24">
        <f t="shared" ca="1" si="179"/>
        <v>666</v>
      </c>
      <c r="P885" s="24">
        <v>903</v>
      </c>
      <c r="Q885" s="11">
        <f t="shared" ca="1" si="180"/>
        <v>150</v>
      </c>
      <c r="R885" s="24">
        <v>200</v>
      </c>
      <c r="S885" s="24">
        <v>10</v>
      </c>
      <c r="T885" s="24">
        <f t="shared" ca="1" si="181"/>
        <v>1263</v>
      </c>
    </row>
    <row r="886" spans="1:20" x14ac:dyDescent="0.45">
      <c r="A886" s="11">
        <v>873</v>
      </c>
      <c r="B886" s="11">
        <f t="shared" ca="1" si="169"/>
        <v>0.36385008040901856</v>
      </c>
      <c r="C886" s="11">
        <f t="shared" ca="1" si="170"/>
        <v>1200</v>
      </c>
      <c r="D886" s="11">
        <f t="shared" ca="1" si="171"/>
        <v>0.24440159354650415</v>
      </c>
      <c r="E886" s="11">
        <f t="shared" ca="1" si="172"/>
        <v>1200</v>
      </c>
      <c r="F886" s="11">
        <f t="shared" ca="1" si="173"/>
        <v>0.32189335092766158</v>
      </c>
      <c r="G886" s="11">
        <f t="shared" ca="1" si="174"/>
        <v>1200</v>
      </c>
      <c r="H886" s="11">
        <f t="shared" ca="1" si="175"/>
        <v>1200</v>
      </c>
      <c r="I886" s="11">
        <f t="shared" ca="1" si="176"/>
        <v>0.84431665391959798</v>
      </c>
      <c r="J886" s="11">
        <f t="shared" ca="1" si="177"/>
        <v>10</v>
      </c>
      <c r="K886" s="24">
        <v>96</v>
      </c>
      <c r="L886" s="24">
        <f t="shared" ca="1" si="178"/>
        <v>100</v>
      </c>
      <c r="M886" s="24">
        <v>400</v>
      </c>
      <c r="N886" s="24">
        <v>20</v>
      </c>
      <c r="O886" s="24">
        <f t="shared" ca="1" si="179"/>
        <v>616</v>
      </c>
      <c r="P886" s="24">
        <v>904</v>
      </c>
      <c r="Q886" s="11">
        <f t="shared" ca="1" si="180"/>
        <v>100</v>
      </c>
      <c r="R886" s="24">
        <v>200</v>
      </c>
      <c r="S886" s="24">
        <v>10</v>
      </c>
      <c r="T886" s="24">
        <f t="shared" ca="1" si="181"/>
        <v>1214</v>
      </c>
    </row>
    <row r="887" spans="1:20" x14ac:dyDescent="0.45">
      <c r="A887" s="11">
        <v>874</v>
      </c>
      <c r="B887" s="11">
        <f t="shared" ca="1" si="169"/>
        <v>0.70225512628722164</v>
      </c>
      <c r="C887" s="11">
        <f t="shared" ca="1" si="170"/>
        <v>1500</v>
      </c>
      <c r="D887" s="11">
        <f t="shared" ca="1" si="171"/>
        <v>1.0659431551830134E-2</v>
      </c>
      <c r="E887" s="11">
        <f t="shared" ca="1" si="172"/>
        <v>1000</v>
      </c>
      <c r="F887" s="11">
        <f t="shared" ca="1" si="173"/>
        <v>0.9281590757712519</v>
      </c>
      <c r="G887" s="11">
        <f t="shared" ca="1" si="174"/>
        <v>1800</v>
      </c>
      <c r="H887" s="11">
        <f t="shared" ca="1" si="175"/>
        <v>1000</v>
      </c>
      <c r="I887" s="11">
        <f t="shared" ca="1" si="176"/>
        <v>7.8025661954609249E-2</v>
      </c>
      <c r="J887" s="11">
        <f t="shared" ca="1" si="177"/>
        <v>5</v>
      </c>
      <c r="K887" s="24">
        <v>96</v>
      </c>
      <c r="L887" s="24">
        <f t="shared" ca="1" si="178"/>
        <v>50</v>
      </c>
      <c r="M887" s="24">
        <v>400</v>
      </c>
      <c r="N887" s="24">
        <v>20</v>
      </c>
      <c r="O887" s="24">
        <f t="shared" ca="1" si="179"/>
        <v>566</v>
      </c>
      <c r="P887" s="24">
        <v>905</v>
      </c>
      <c r="Q887" s="11">
        <f t="shared" ca="1" si="180"/>
        <v>50</v>
      </c>
      <c r="R887" s="24">
        <v>200</v>
      </c>
      <c r="S887" s="24">
        <v>10</v>
      </c>
      <c r="T887" s="24">
        <f t="shared" ca="1" si="181"/>
        <v>1165</v>
      </c>
    </row>
    <row r="888" spans="1:20" x14ac:dyDescent="0.45">
      <c r="A888" s="11">
        <v>875</v>
      </c>
      <c r="B888" s="11">
        <f t="shared" ca="1" si="169"/>
        <v>3.084745638756059E-2</v>
      </c>
      <c r="C888" s="11">
        <f t="shared" ca="1" si="170"/>
        <v>1000</v>
      </c>
      <c r="D888" s="11">
        <f t="shared" ca="1" si="171"/>
        <v>0.93330854818916553</v>
      </c>
      <c r="E888" s="11">
        <f t="shared" ca="1" si="172"/>
        <v>1800</v>
      </c>
      <c r="F888" s="11">
        <f t="shared" ca="1" si="173"/>
        <v>0.61354529750011977</v>
      </c>
      <c r="G888" s="11">
        <f t="shared" ca="1" si="174"/>
        <v>1400</v>
      </c>
      <c r="H888" s="11">
        <f t="shared" ca="1" si="175"/>
        <v>1000</v>
      </c>
      <c r="I888" s="11">
        <f t="shared" ca="1" si="176"/>
        <v>0.23326320232109632</v>
      </c>
      <c r="J888" s="11">
        <f t="shared" ca="1" si="177"/>
        <v>5</v>
      </c>
      <c r="K888" s="24">
        <v>96</v>
      </c>
      <c r="L888" s="24">
        <f t="shared" ca="1" si="178"/>
        <v>50</v>
      </c>
      <c r="M888" s="24">
        <v>400</v>
      </c>
      <c r="N888" s="24">
        <v>20</v>
      </c>
      <c r="O888" s="24">
        <f t="shared" ca="1" si="179"/>
        <v>566</v>
      </c>
      <c r="P888" s="24">
        <v>906</v>
      </c>
      <c r="Q888" s="11">
        <f t="shared" ca="1" si="180"/>
        <v>50</v>
      </c>
      <c r="R888" s="24">
        <v>200</v>
      </c>
      <c r="S888" s="24">
        <v>10</v>
      </c>
      <c r="T888" s="24">
        <f t="shared" ca="1" si="181"/>
        <v>1166</v>
      </c>
    </row>
    <row r="889" spans="1:20" x14ac:dyDescent="0.45">
      <c r="A889" s="11">
        <v>876</v>
      </c>
      <c r="B889" s="11">
        <f t="shared" ca="1" si="169"/>
        <v>0.80566877128624481</v>
      </c>
      <c r="C889" s="11">
        <f t="shared" ca="1" si="170"/>
        <v>1500</v>
      </c>
      <c r="D889" s="11">
        <f t="shared" ca="1" si="171"/>
        <v>0.52707408723027915</v>
      </c>
      <c r="E889" s="11">
        <f t="shared" ca="1" si="172"/>
        <v>1300</v>
      </c>
      <c r="F889" s="11">
        <f t="shared" ca="1" si="173"/>
        <v>0.30029993785111497</v>
      </c>
      <c r="G889" s="11">
        <f t="shared" ca="1" si="174"/>
        <v>1200</v>
      </c>
      <c r="H889" s="11">
        <f t="shared" ca="1" si="175"/>
        <v>1200</v>
      </c>
      <c r="I889" s="11">
        <f t="shared" ca="1" si="176"/>
        <v>0.17695013284535921</v>
      </c>
      <c r="J889" s="11">
        <f t="shared" ca="1" si="177"/>
        <v>5</v>
      </c>
      <c r="K889" s="24">
        <v>96</v>
      </c>
      <c r="L889" s="24">
        <f t="shared" ca="1" si="178"/>
        <v>50</v>
      </c>
      <c r="M889" s="24">
        <v>400</v>
      </c>
      <c r="N889" s="24">
        <v>20</v>
      </c>
      <c r="O889" s="24">
        <f t="shared" ca="1" si="179"/>
        <v>566</v>
      </c>
      <c r="P889" s="24">
        <v>907</v>
      </c>
      <c r="Q889" s="11">
        <f t="shared" ca="1" si="180"/>
        <v>50</v>
      </c>
      <c r="R889" s="24">
        <v>200</v>
      </c>
      <c r="S889" s="24">
        <v>10</v>
      </c>
      <c r="T889" s="24">
        <f t="shared" ca="1" si="181"/>
        <v>1167</v>
      </c>
    </row>
    <row r="890" spans="1:20" x14ac:dyDescent="0.45">
      <c r="A890" s="11">
        <v>877</v>
      </c>
      <c r="B890" s="11">
        <f t="shared" ca="1" si="169"/>
        <v>0.80761977916917072</v>
      </c>
      <c r="C890" s="11">
        <f t="shared" ca="1" si="170"/>
        <v>1500</v>
      </c>
      <c r="D890" s="11">
        <f t="shared" ca="1" si="171"/>
        <v>0.57292049562646052</v>
      </c>
      <c r="E890" s="11">
        <f t="shared" ca="1" si="172"/>
        <v>1300</v>
      </c>
      <c r="F890" s="11">
        <f t="shared" ca="1" si="173"/>
        <v>0.53034302304201175</v>
      </c>
      <c r="G890" s="11">
        <f t="shared" ca="1" si="174"/>
        <v>1300</v>
      </c>
      <c r="H890" s="11">
        <f t="shared" ca="1" si="175"/>
        <v>1300</v>
      </c>
      <c r="I890" s="11">
        <f t="shared" ca="1" si="176"/>
        <v>0.45556714703876167</v>
      </c>
      <c r="J890" s="11">
        <f t="shared" ca="1" si="177"/>
        <v>5</v>
      </c>
      <c r="K890" s="24">
        <v>96</v>
      </c>
      <c r="L890" s="24">
        <f t="shared" ca="1" si="178"/>
        <v>50</v>
      </c>
      <c r="M890" s="24">
        <v>400</v>
      </c>
      <c r="N890" s="24">
        <v>20</v>
      </c>
      <c r="O890" s="24">
        <f t="shared" ca="1" si="179"/>
        <v>566</v>
      </c>
      <c r="P890" s="24">
        <v>908</v>
      </c>
      <c r="Q890" s="11">
        <f t="shared" ca="1" si="180"/>
        <v>50</v>
      </c>
      <c r="R890" s="24">
        <v>200</v>
      </c>
      <c r="S890" s="24">
        <v>10</v>
      </c>
      <c r="T890" s="24">
        <f t="shared" ca="1" si="181"/>
        <v>1168</v>
      </c>
    </row>
    <row r="891" spans="1:20" x14ac:dyDescent="0.45">
      <c r="A891" s="11">
        <v>878</v>
      </c>
      <c r="B891" s="11">
        <f t="shared" ca="1" si="169"/>
        <v>0.99897478360005409</v>
      </c>
      <c r="C891" s="11">
        <f t="shared" ca="1" si="170"/>
        <v>1900</v>
      </c>
      <c r="D891" s="11">
        <f t="shared" ca="1" si="171"/>
        <v>0.51059553237938748</v>
      </c>
      <c r="E891" s="11">
        <f t="shared" ca="1" si="172"/>
        <v>1300</v>
      </c>
      <c r="F891" s="11">
        <f t="shared" ca="1" si="173"/>
        <v>0.62396057957294071</v>
      </c>
      <c r="G891" s="11">
        <f t="shared" ca="1" si="174"/>
        <v>1400</v>
      </c>
      <c r="H891" s="11">
        <f t="shared" ca="1" si="175"/>
        <v>1300</v>
      </c>
      <c r="I891" s="11">
        <f t="shared" ca="1" si="176"/>
        <v>0.24466541033144318</v>
      </c>
      <c r="J891" s="11">
        <f t="shared" ca="1" si="177"/>
        <v>5</v>
      </c>
      <c r="K891" s="24">
        <v>96</v>
      </c>
      <c r="L891" s="24">
        <f t="shared" ca="1" si="178"/>
        <v>50</v>
      </c>
      <c r="M891" s="24">
        <v>400</v>
      </c>
      <c r="N891" s="24">
        <v>20</v>
      </c>
      <c r="O891" s="24">
        <f t="shared" ca="1" si="179"/>
        <v>566</v>
      </c>
      <c r="P891" s="24">
        <v>909</v>
      </c>
      <c r="Q891" s="11">
        <f t="shared" ca="1" si="180"/>
        <v>50</v>
      </c>
      <c r="R891" s="24">
        <v>200</v>
      </c>
      <c r="S891" s="24">
        <v>10</v>
      </c>
      <c r="T891" s="24">
        <f t="shared" ca="1" si="181"/>
        <v>1169</v>
      </c>
    </row>
    <row r="892" spans="1:20" x14ac:dyDescent="0.45">
      <c r="A892" s="11">
        <v>879</v>
      </c>
      <c r="B892" s="11">
        <f t="shared" ca="1" si="169"/>
        <v>0.73140705688996099</v>
      </c>
      <c r="C892" s="11">
        <f t="shared" ca="1" si="170"/>
        <v>1500</v>
      </c>
      <c r="D892" s="11">
        <f t="shared" ca="1" si="171"/>
        <v>0.94967896885563508</v>
      </c>
      <c r="E892" s="11">
        <f t="shared" ca="1" si="172"/>
        <v>1800</v>
      </c>
      <c r="F892" s="11">
        <f t="shared" ca="1" si="173"/>
        <v>0.55798539115020573</v>
      </c>
      <c r="G892" s="11">
        <f t="shared" ca="1" si="174"/>
        <v>1300</v>
      </c>
      <c r="H892" s="11">
        <f t="shared" ca="1" si="175"/>
        <v>1300</v>
      </c>
      <c r="I892" s="11">
        <f t="shared" ca="1" si="176"/>
        <v>0.79946563646207758</v>
      </c>
      <c r="J892" s="11">
        <f t="shared" ca="1" si="177"/>
        <v>10</v>
      </c>
      <c r="K892" s="24">
        <v>96</v>
      </c>
      <c r="L892" s="24">
        <f t="shared" ca="1" si="178"/>
        <v>100</v>
      </c>
      <c r="M892" s="24">
        <v>400</v>
      </c>
      <c r="N892" s="24">
        <v>20</v>
      </c>
      <c r="O892" s="24">
        <f t="shared" ca="1" si="179"/>
        <v>616</v>
      </c>
      <c r="P892" s="24">
        <v>910</v>
      </c>
      <c r="Q892" s="11">
        <f t="shared" ca="1" si="180"/>
        <v>100</v>
      </c>
      <c r="R892" s="24">
        <v>200</v>
      </c>
      <c r="S892" s="24">
        <v>10</v>
      </c>
      <c r="T892" s="24">
        <f t="shared" ca="1" si="181"/>
        <v>1220</v>
      </c>
    </row>
    <row r="893" spans="1:20" x14ac:dyDescent="0.45">
      <c r="A893" s="11">
        <v>880</v>
      </c>
      <c r="B893" s="11">
        <f t="shared" ca="1" si="169"/>
        <v>0.6628936965010841</v>
      </c>
      <c r="C893" s="11">
        <f t="shared" ca="1" si="170"/>
        <v>1400</v>
      </c>
      <c r="D893" s="11">
        <f t="shared" ca="1" si="171"/>
        <v>0.22591743837239553</v>
      </c>
      <c r="E893" s="11">
        <f t="shared" ca="1" si="172"/>
        <v>1100</v>
      </c>
      <c r="F893" s="11">
        <f t="shared" ca="1" si="173"/>
        <v>0.25485539419906833</v>
      </c>
      <c r="G893" s="11">
        <f t="shared" ca="1" si="174"/>
        <v>1200</v>
      </c>
      <c r="H893" s="11">
        <f t="shared" ca="1" si="175"/>
        <v>1100</v>
      </c>
      <c r="I893" s="11">
        <f t="shared" ca="1" si="176"/>
        <v>0.64979068038219645</v>
      </c>
      <c r="J893" s="11">
        <f t="shared" ca="1" si="177"/>
        <v>10</v>
      </c>
      <c r="K893" s="24">
        <v>96</v>
      </c>
      <c r="L893" s="24">
        <f t="shared" ca="1" si="178"/>
        <v>100</v>
      </c>
      <c r="M893" s="24">
        <v>400</v>
      </c>
      <c r="N893" s="24">
        <v>20</v>
      </c>
      <c r="O893" s="24">
        <f t="shared" ca="1" si="179"/>
        <v>616</v>
      </c>
      <c r="P893" s="24">
        <v>911</v>
      </c>
      <c r="Q893" s="11">
        <f t="shared" ca="1" si="180"/>
        <v>100</v>
      </c>
      <c r="R893" s="24">
        <v>200</v>
      </c>
      <c r="S893" s="24">
        <v>10</v>
      </c>
      <c r="T893" s="24">
        <f t="shared" ca="1" si="181"/>
        <v>1221</v>
      </c>
    </row>
    <row r="894" spans="1:20" x14ac:dyDescent="0.45">
      <c r="A894" s="11">
        <v>881</v>
      </c>
      <c r="B894" s="11">
        <f t="shared" ca="1" si="169"/>
        <v>0.53038488001034534</v>
      </c>
      <c r="C894" s="11">
        <f t="shared" ca="1" si="170"/>
        <v>1300</v>
      </c>
      <c r="D894" s="11">
        <f t="shared" ca="1" si="171"/>
        <v>0.94749467484580607</v>
      </c>
      <c r="E894" s="11">
        <f t="shared" ca="1" si="172"/>
        <v>1800</v>
      </c>
      <c r="F894" s="11">
        <f t="shared" ca="1" si="173"/>
        <v>0.80267537117624532</v>
      </c>
      <c r="G894" s="11">
        <f t="shared" ca="1" si="174"/>
        <v>1500</v>
      </c>
      <c r="H894" s="11">
        <f t="shared" ca="1" si="175"/>
        <v>1300</v>
      </c>
      <c r="I894" s="11">
        <f t="shared" ca="1" si="176"/>
        <v>0.1436077768079681</v>
      </c>
      <c r="J894" s="11">
        <f t="shared" ca="1" si="177"/>
        <v>5</v>
      </c>
      <c r="K894" s="24">
        <v>96</v>
      </c>
      <c r="L894" s="24">
        <f t="shared" ca="1" si="178"/>
        <v>50</v>
      </c>
      <c r="M894" s="24">
        <v>400</v>
      </c>
      <c r="N894" s="24">
        <v>20</v>
      </c>
      <c r="O894" s="24">
        <f t="shared" ca="1" si="179"/>
        <v>566</v>
      </c>
      <c r="P894" s="24">
        <v>912</v>
      </c>
      <c r="Q894" s="11">
        <f t="shared" ca="1" si="180"/>
        <v>50</v>
      </c>
      <c r="R894" s="24">
        <v>200</v>
      </c>
      <c r="S894" s="24">
        <v>10</v>
      </c>
      <c r="T894" s="24">
        <f t="shared" ca="1" si="181"/>
        <v>1172</v>
      </c>
    </row>
    <row r="895" spans="1:20" x14ac:dyDescent="0.45">
      <c r="A895" s="11">
        <v>882</v>
      </c>
      <c r="B895" s="11">
        <f t="shared" ca="1" si="169"/>
        <v>0.99520607732608102</v>
      </c>
      <c r="C895" s="11">
        <f t="shared" ca="1" si="170"/>
        <v>1900</v>
      </c>
      <c r="D895" s="11">
        <f t="shared" ca="1" si="171"/>
        <v>0.97093198129671898</v>
      </c>
      <c r="E895" s="11">
        <f t="shared" ca="1" si="172"/>
        <v>1900</v>
      </c>
      <c r="F895" s="11">
        <f t="shared" ca="1" si="173"/>
        <v>0.88807822433953731</v>
      </c>
      <c r="G895" s="11">
        <f t="shared" ca="1" si="174"/>
        <v>1700</v>
      </c>
      <c r="H895" s="11">
        <f t="shared" ca="1" si="175"/>
        <v>1700</v>
      </c>
      <c r="I895" s="11">
        <f t="shared" ca="1" si="176"/>
        <v>0.11728457930987035</v>
      </c>
      <c r="J895" s="11">
        <f t="shared" ca="1" si="177"/>
        <v>5</v>
      </c>
      <c r="K895" s="24">
        <v>96</v>
      </c>
      <c r="L895" s="24">
        <f t="shared" ca="1" si="178"/>
        <v>50</v>
      </c>
      <c r="M895" s="24">
        <v>400</v>
      </c>
      <c r="N895" s="24">
        <v>20</v>
      </c>
      <c r="O895" s="24">
        <f t="shared" ca="1" si="179"/>
        <v>566</v>
      </c>
      <c r="P895" s="24">
        <v>913</v>
      </c>
      <c r="Q895" s="11">
        <f t="shared" ca="1" si="180"/>
        <v>50</v>
      </c>
      <c r="R895" s="24">
        <v>200</v>
      </c>
      <c r="S895" s="24">
        <v>10</v>
      </c>
      <c r="T895" s="24">
        <f t="shared" ca="1" si="181"/>
        <v>1173</v>
      </c>
    </row>
    <row r="896" spans="1:20" x14ac:dyDescent="0.45">
      <c r="A896" s="11">
        <v>883</v>
      </c>
      <c r="B896" s="11">
        <f t="shared" ca="1" si="169"/>
        <v>4.7392466366691588E-2</v>
      </c>
      <c r="C896" s="11">
        <f t="shared" ca="1" si="170"/>
        <v>1000</v>
      </c>
      <c r="D896" s="11">
        <f t="shared" ca="1" si="171"/>
        <v>0.45411410318551459</v>
      </c>
      <c r="E896" s="11">
        <f t="shared" ca="1" si="172"/>
        <v>1200</v>
      </c>
      <c r="F896" s="11">
        <f t="shared" ca="1" si="173"/>
        <v>1.607841023943879E-2</v>
      </c>
      <c r="G896" s="11">
        <f t="shared" ca="1" si="174"/>
        <v>1000</v>
      </c>
      <c r="H896" s="11">
        <f t="shared" ca="1" si="175"/>
        <v>1000</v>
      </c>
      <c r="I896" s="11">
        <f t="shared" ca="1" si="176"/>
        <v>0.73324494922498318</v>
      </c>
      <c r="J896" s="11">
        <f t="shared" ca="1" si="177"/>
        <v>10</v>
      </c>
      <c r="K896" s="24">
        <v>96</v>
      </c>
      <c r="L896" s="24">
        <f t="shared" ca="1" si="178"/>
        <v>100</v>
      </c>
      <c r="M896" s="24">
        <v>400</v>
      </c>
      <c r="N896" s="24">
        <v>20</v>
      </c>
      <c r="O896" s="24">
        <f t="shared" ca="1" si="179"/>
        <v>616</v>
      </c>
      <c r="P896" s="24">
        <v>914</v>
      </c>
      <c r="Q896" s="11">
        <f t="shared" ca="1" si="180"/>
        <v>100</v>
      </c>
      <c r="R896" s="24">
        <v>200</v>
      </c>
      <c r="S896" s="24">
        <v>10</v>
      </c>
      <c r="T896" s="24">
        <f t="shared" ca="1" si="181"/>
        <v>1224</v>
      </c>
    </row>
    <row r="897" spans="1:20" x14ac:dyDescent="0.45">
      <c r="A897" s="11">
        <v>884</v>
      </c>
      <c r="B897" s="11">
        <f t="shared" ca="1" si="169"/>
        <v>0.1352630751186148</v>
      </c>
      <c r="C897" s="11">
        <f t="shared" ca="1" si="170"/>
        <v>1100</v>
      </c>
      <c r="D897" s="11">
        <f t="shared" ca="1" si="171"/>
        <v>0.84944599919464936</v>
      </c>
      <c r="E897" s="11">
        <f t="shared" ca="1" si="172"/>
        <v>1700</v>
      </c>
      <c r="F897" s="11">
        <f t="shared" ca="1" si="173"/>
        <v>7.5164655833241056E-2</v>
      </c>
      <c r="G897" s="11">
        <f t="shared" ca="1" si="174"/>
        <v>1000</v>
      </c>
      <c r="H897" s="11">
        <f t="shared" ca="1" si="175"/>
        <v>1000</v>
      </c>
      <c r="I897" s="11">
        <f t="shared" ca="1" si="176"/>
        <v>0.78770839686097915</v>
      </c>
      <c r="J897" s="11">
        <f t="shared" ca="1" si="177"/>
        <v>10</v>
      </c>
      <c r="K897" s="24">
        <v>96</v>
      </c>
      <c r="L897" s="24">
        <f t="shared" ca="1" si="178"/>
        <v>100</v>
      </c>
      <c r="M897" s="24">
        <v>400</v>
      </c>
      <c r="N897" s="24">
        <v>20</v>
      </c>
      <c r="O897" s="24">
        <f t="shared" ca="1" si="179"/>
        <v>616</v>
      </c>
      <c r="P897" s="24">
        <v>915</v>
      </c>
      <c r="Q897" s="11">
        <f t="shared" ca="1" si="180"/>
        <v>100</v>
      </c>
      <c r="R897" s="24">
        <v>200</v>
      </c>
      <c r="S897" s="24">
        <v>10</v>
      </c>
      <c r="T897" s="24">
        <f t="shared" ca="1" si="181"/>
        <v>1225</v>
      </c>
    </row>
    <row r="898" spans="1:20" x14ac:dyDescent="0.45">
      <c r="A898" s="11">
        <v>885</v>
      </c>
      <c r="B898" s="11">
        <f t="shared" ca="1" si="169"/>
        <v>0.2569908336192035</v>
      </c>
      <c r="C898" s="11">
        <f t="shared" ca="1" si="170"/>
        <v>1200</v>
      </c>
      <c r="D898" s="11">
        <f t="shared" ca="1" si="171"/>
        <v>0.99028045418682309</v>
      </c>
      <c r="E898" s="11">
        <f t="shared" ca="1" si="172"/>
        <v>1900</v>
      </c>
      <c r="F898" s="11">
        <f t="shared" ca="1" si="173"/>
        <v>0.19310930662802273</v>
      </c>
      <c r="G898" s="11">
        <f t="shared" ca="1" si="174"/>
        <v>1100</v>
      </c>
      <c r="H898" s="11">
        <f t="shared" ca="1" si="175"/>
        <v>1100</v>
      </c>
      <c r="I898" s="11">
        <f t="shared" ca="1" si="176"/>
        <v>0.33594247965774582</v>
      </c>
      <c r="J898" s="11">
        <f t="shared" ca="1" si="177"/>
        <v>5</v>
      </c>
      <c r="K898" s="24">
        <v>96</v>
      </c>
      <c r="L898" s="24">
        <f t="shared" ca="1" si="178"/>
        <v>50</v>
      </c>
      <c r="M898" s="24">
        <v>400</v>
      </c>
      <c r="N898" s="24">
        <v>20</v>
      </c>
      <c r="O898" s="24">
        <f t="shared" ca="1" si="179"/>
        <v>566</v>
      </c>
      <c r="P898" s="24">
        <v>916</v>
      </c>
      <c r="Q898" s="11">
        <f t="shared" ca="1" si="180"/>
        <v>50</v>
      </c>
      <c r="R898" s="24">
        <v>200</v>
      </c>
      <c r="S898" s="24">
        <v>10</v>
      </c>
      <c r="T898" s="24">
        <f t="shared" ca="1" si="181"/>
        <v>1176</v>
      </c>
    </row>
    <row r="899" spans="1:20" x14ac:dyDescent="0.45">
      <c r="A899" s="11">
        <v>886</v>
      </c>
      <c r="B899" s="11">
        <f t="shared" ca="1" si="169"/>
        <v>0.67538744695940711</v>
      </c>
      <c r="C899" s="11">
        <f t="shared" ca="1" si="170"/>
        <v>1400</v>
      </c>
      <c r="D899" s="11">
        <f t="shared" ca="1" si="171"/>
        <v>0.35920296818397468</v>
      </c>
      <c r="E899" s="11">
        <f t="shared" ca="1" si="172"/>
        <v>1200</v>
      </c>
      <c r="F899" s="11">
        <f t="shared" ca="1" si="173"/>
        <v>0.79643309760787662</v>
      </c>
      <c r="G899" s="11">
        <f t="shared" ca="1" si="174"/>
        <v>1500</v>
      </c>
      <c r="H899" s="11">
        <f t="shared" ca="1" si="175"/>
        <v>1200</v>
      </c>
      <c r="I899" s="11">
        <f t="shared" ca="1" si="176"/>
        <v>0.67154162021857755</v>
      </c>
      <c r="J899" s="11">
        <f t="shared" ca="1" si="177"/>
        <v>10</v>
      </c>
      <c r="K899" s="24">
        <v>96</v>
      </c>
      <c r="L899" s="24">
        <f t="shared" ca="1" si="178"/>
        <v>100</v>
      </c>
      <c r="M899" s="24">
        <v>400</v>
      </c>
      <c r="N899" s="24">
        <v>20</v>
      </c>
      <c r="O899" s="24">
        <f t="shared" ca="1" si="179"/>
        <v>616</v>
      </c>
      <c r="P899" s="24">
        <v>917</v>
      </c>
      <c r="Q899" s="11">
        <f t="shared" ca="1" si="180"/>
        <v>100</v>
      </c>
      <c r="R899" s="24">
        <v>200</v>
      </c>
      <c r="S899" s="24">
        <v>10</v>
      </c>
      <c r="T899" s="24">
        <f t="shared" ca="1" si="181"/>
        <v>1227</v>
      </c>
    </row>
    <row r="900" spans="1:20" x14ac:dyDescent="0.45">
      <c r="A900" s="11">
        <v>887</v>
      </c>
      <c r="B900" s="11">
        <f t="shared" ca="1" si="169"/>
        <v>0.53059614256734433</v>
      </c>
      <c r="C900" s="11">
        <f t="shared" ca="1" si="170"/>
        <v>1300</v>
      </c>
      <c r="D900" s="11">
        <f t="shared" ca="1" si="171"/>
        <v>0.86039708439582596</v>
      </c>
      <c r="E900" s="11">
        <f t="shared" ca="1" si="172"/>
        <v>1700</v>
      </c>
      <c r="F900" s="11">
        <f t="shared" ca="1" si="173"/>
        <v>0.6416329704474234</v>
      </c>
      <c r="G900" s="11">
        <f t="shared" ca="1" si="174"/>
        <v>1400</v>
      </c>
      <c r="H900" s="11">
        <f t="shared" ca="1" si="175"/>
        <v>1300</v>
      </c>
      <c r="I900" s="11">
        <f t="shared" ca="1" si="176"/>
        <v>0.75961141837230983</v>
      </c>
      <c r="J900" s="11">
        <f t="shared" ca="1" si="177"/>
        <v>10</v>
      </c>
      <c r="K900" s="24">
        <v>96</v>
      </c>
      <c r="L900" s="24">
        <f t="shared" ca="1" si="178"/>
        <v>100</v>
      </c>
      <c r="M900" s="24">
        <v>400</v>
      </c>
      <c r="N900" s="24">
        <v>20</v>
      </c>
      <c r="O900" s="24">
        <f t="shared" ca="1" si="179"/>
        <v>616</v>
      </c>
      <c r="P900" s="24">
        <v>918</v>
      </c>
      <c r="Q900" s="11">
        <f t="shared" ca="1" si="180"/>
        <v>100</v>
      </c>
      <c r="R900" s="24">
        <v>200</v>
      </c>
      <c r="S900" s="24">
        <v>10</v>
      </c>
      <c r="T900" s="24">
        <f t="shared" ca="1" si="181"/>
        <v>1228</v>
      </c>
    </row>
    <row r="901" spans="1:20" x14ac:dyDescent="0.45">
      <c r="A901" s="11">
        <v>888</v>
      </c>
      <c r="B901" s="11">
        <f t="shared" ca="1" si="169"/>
        <v>0.18203858721390176</v>
      </c>
      <c r="C901" s="11">
        <f t="shared" ca="1" si="170"/>
        <v>1100</v>
      </c>
      <c r="D901" s="11">
        <f t="shared" ca="1" si="171"/>
        <v>0.28207546244876791</v>
      </c>
      <c r="E901" s="11">
        <f t="shared" ca="1" si="172"/>
        <v>1200</v>
      </c>
      <c r="F901" s="11">
        <f t="shared" ca="1" si="173"/>
        <v>0.28197053487801893</v>
      </c>
      <c r="G901" s="11">
        <f t="shared" ca="1" si="174"/>
        <v>1200</v>
      </c>
      <c r="H901" s="11">
        <f t="shared" ca="1" si="175"/>
        <v>1100</v>
      </c>
      <c r="I901" s="11">
        <f t="shared" ca="1" si="176"/>
        <v>0.59618067837371203</v>
      </c>
      <c r="J901" s="11">
        <f t="shared" ca="1" si="177"/>
        <v>5</v>
      </c>
      <c r="K901" s="24">
        <v>96</v>
      </c>
      <c r="L901" s="24">
        <f t="shared" ca="1" si="178"/>
        <v>50</v>
      </c>
      <c r="M901" s="24">
        <v>400</v>
      </c>
      <c r="N901" s="24">
        <v>20</v>
      </c>
      <c r="O901" s="24">
        <f t="shared" ca="1" si="179"/>
        <v>566</v>
      </c>
      <c r="P901" s="24">
        <v>919</v>
      </c>
      <c r="Q901" s="11">
        <f t="shared" ca="1" si="180"/>
        <v>50</v>
      </c>
      <c r="R901" s="24">
        <v>200</v>
      </c>
      <c r="S901" s="24">
        <v>10</v>
      </c>
      <c r="T901" s="24">
        <f t="shared" ca="1" si="181"/>
        <v>1179</v>
      </c>
    </row>
    <row r="902" spans="1:20" x14ac:dyDescent="0.45">
      <c r="A902" s="11">
        <v>889</v>
      </c>
      <c r="B902" s="11">
        <f t="shared" ca="1" si="169"/>
        <v>0.55600554355664455</v>
      </c>
      <c r="C902" s="11">
        <f t="shared" ca="1" si="170"/>
        <v>1300</v>
      </c>
      <c r="D902" s="11">
        <f t="shared" ca="1" si="171"/>
        <v>0.62231720795684387</v>
      </c>
      <c r="E902" s="11">
        <f t="shared" ca="1" si="172"/>
        <v>1400</v>
      </c>
      <c r="F902" s="11">
        <f t="shared" ca="1" si="173"/>
        <v>0.40072285170023003</v>
      </c>
      <c r="G902" s="11">
        <f t="shared" ca="1" si="174"/>
        <v>1200</v>
      </c>
      <c r="H902" s="11">
        <f t="shared" ca="1" si="175"/>
        <v>1200</v>
      </c>
      <c r="I902" s="11">
        <f t="shared" ca="1" si="176"/>
        <v>0.52233485875603081</v>
      </c>
      <c r="J902" s="11">
        <f t="shared" ca="1" si="177"/>
        <v>5</v>
      </c>
      <c r="K902" s="24">
        <v>96</v>
      </c>
      <c r="L902" s="24">
        <f t="shared" ca="1" si="178"/>
        <v>50</v>
      </c>
      <c r="M902" s="24">
        <v>400</v>
      </c>
      <c r="N902" s="24">
        <v>20</v>
      </c>
      <c r="O902" s="24">
        <f t="shared" ca="1" si="179"/>
        <v>566</v>
      </c>
      <c r="P902" s="24">
        <v>920</v>
      </c>
      <c r="Q902" s="11">
        <f t="shared" ca="1" si="180"/>
        <v>50</v>
      </c>
      <c r="R902" s="24">
        <v>200</v>
      </c>
      <c r="S902" s="24">
        <v>10</v>
      </c>
      <c r="T902" s="24">
        <f t="shared" ca="1" si="181"/>
        <v>1180</v>
      </c>
    </row>
    <row r="903" spans="1:20" x14ac:dyDescent="0.45">
      <c r="A903" s="11">
        <v>890</v>
      </c>
      <c r="B903" s="11">
        <f t="shared" ca="1" si="169"/>
        <v>8.0355843035486041E-2</v>
      </c>
      <c r="C903" s="11">
        <f t="shared" ca="1" si="170"/>
        <v>1000</v>
      </c>
      <c r="D903" s="11">
        <f t="shared" ca="1" si="171"/>
        <v>0.9645804399408987</v>
      </c>
      <c r="E903" s="11">
        <f t="shared" ca="1" si="172"/>
        <v>1900</v>
      </c>
      <c r="F903" s="11">
        <f t="shared" ca="1" si="173"/>
        <v>0.15692890291484729</v>
      </c>
      <c r="G903" s="11">
        <f t="shared" ca="1" si="174"/>
        <v>1100</v>
      </c>
      <c r="H903" s="11">
        <f t="shared" ca="1" si="175"/>
        <v>1000</v>
      </c>
      <c r="I903" s="11">
        <f t="shared" ca="1" si="176"/>
        <v>0.50980224476346114</v>
      </c>
      <c r="J903" s="11">
        <f t="shared" ca="1" si="177"/>
        <v>5</v>
      </c>
      <c r="K903" s="24">
        <v>96</v>
      </c>
      <c r="L903" s="24">
        <f t="shared" ca="1" si="178"/>
        <v>50</v>
      </c>
      <c r="M903" s="24">
        <v>400</v>
      </c>
      <c r="N903" s="24">
        <v>20</v>
      </c>
      <c r="O903" s="24">
        <f t="shared" ca="1" si="179"/>
        <v>566</v>
      </c>
      <c r="P903" s="24">
        <v>921</v>
      </c>
      <c r="Q903" s="11">
        <f t="shared" ca="1" si="180"/>
        <v>50</v>
      </c>
      <c r="R903" s="24">
        <v>200</v>
      </c>
      <c r="S903" s="24">
        <v>10</v>
      </c>
      <c r="T903" s="24">
        <f t="shared" ca="1" si="181"/>
        <v>1181</v>
      </c>
    </row>
    <row r="904" spans="1:20" x14ac:dyDescent="0.45">
      <c r="A904" s="11">
        <v>891</v>
      </c>
      <c r="B904" s="11">
        <f t="shared" ca="1" si="169"/>
        <v>0.22121257723473953</v>
      </c>
      <c r="C904" s="11">
        <f t="shared" ca="1" si="170"/>
        <v>1100</v>
      </c>
      <c r="D904" s="11">
        <f t="shared" ca="1" si="171"/>
        <v>0.92699143724536459</v>
      </c>
      <c r="E904" s="11">
        <f t="shared" ca="1" si="172"/>
        <v>1800</v>
      </c>
      <c r="F904" s="11">
        <f t="shared" ca="1" si="173"/>
        <v>0.7282815609714024</v>
      </c>
      <c r="G904" s="11">
        <f t="shared" ca="1" si="174"/>
        <v>1500</v>
      </c>
      <c r="H904" s="11">
        <f t="shared" ca="1" si="175"/>
        <v>1100</v>
      </c>
      <c r="I904" s="11">
        <f t="shared" ca="1" si="176"/>
        <v>0.57866614802020533</v>
      </c>
      <c r="J904" s="11">
        <f t="shared" ca="1" si="177"/>
        <v>5</v>
      </c>
      <c r="K904" s="24">
        <v>96</v>
      </c>
      <c r="L904" s="24">
        <f t="shared" ca="1" si="178"/>
        <v>50</v>
      </c>
      <c r="M904" s="24">
        <v>400</v>
      </c>
      <c r="N904" s="24">
        <v>20</v>
      </c>
      <c r="O904" s="24">
        <f t="shared" ca="1" si="179"/>
        <v>566</v>
      </c>
      <c r="P904" s="24">
        <v>922</v>
      </c>
      <c r="Q904" s="11">
        <f t="shared" ca="1" si="180"/>
        <v>50</v>
      </c>
      <c r="R904" s="24">
        <v>200</v>
      </c>
      <c r="S904" s="24">
        <v>10</v>
      </c>
      <c r="T904" s="24">
        <f t="shared" ca="1" si="181"/>
        <v>1182</v>
      </c>
    </row>
    <row r="905" spans="1:20" x14ac:dyDescent="0.45">
      <c r="A905" s="11">
        <v>892</v>
      </c>
      <c r="B905" s="11">
        <f t="shared" ca="1" si="169"/>
        <v>0.94686237559680186</v>
      </c>
      <c r="C905" s="11">
        <f t="shared" ca="1" si="170"/>
        <v>1800</v>
      </c>
      <c r="D905" s="11">
        <f t="shared" ca="1" si="171"/>
        <v>0.13758946581301756</v>
      </c>
      <c r="E905" s="11">
        <f t="shared" ca="1" si="172"/>
        <v>1100</v>
      </c>
      <c r="F905" s="11">
        <f t="shared" ca="1" si="173"/>
        <v>0.40564528025135205</v>
      </c>
      <c r="G905" s="11">
        <f t="shared" ca="1" si="174"/>
        <v>1200</v>
      </c>
      <c r="H905" s="11">
        <f t="shared" ca="1" si="175"/>
        <v>1100</v>
      </c>
      <c r="I905" s="11">
        <f t="shared" ca="1" si="176"/>
        <v>7.5822447726711095E-2</v>
      </c>
      <c r="J905" s="11">
        <f t="shared" ca="1" si="177"/>
        <v>5</v>
      </c>
      <c r="K905" s="24">
        <v>96</v>
      </c>
      <c r="L905" s="24">
        <f t="shared" ca="1" si="178"/>
        <v>50</v>
      </c>
      <c r="M905" s="24">
        <v>400</v>
      </c>
      <c r="N905" s="24">
        <v>20</v>
      </c>
      <c r="O905" s="24">
        <f t="shared" ca="1" si="179"/>
        <v>566</v>
      </c>
      <c r="P905" s="24">
        <v>923</v>
      </c>
      <c r="Q905" s="11">
        <f t="shared" ca="1" si="180"/>
        <v>50</v>
      </c>
      <c r="R905" s="24">
        <v>200</v>
      </c>
      <c r="S905" s="24">
        <v>10</v>
      </c>
      <c r="T905" s="24">
        <f t="shared" ca="1" si="181"/>
        <v>1183</v>
      </c>
    </row>
    <row r="906" spans="1:20" x14ac:dyDescent="0.45">
      <c r="A906" s="11">
        <v>893</v>
      </c>
      <c r="B906" s="11">
        <f t="shared" ca="1" si="169"/>
        <v>0.45368156628404099</v>
      </c>
      <c r="C906" s="11">
        <f t="shared" ca="1" si="170"/>
        <v>1200</v>
      </c>
      <c r="D906" s="11">
        <f t="shared" ca="1" si="171"/>
        <v>0.78759688782527315</v>
      </c>
      <c r="E906" s="11">
        <f t="shared" ca="1" si="172"/>
        <v>1500</v>
      </c>
      <c r="F906" s="11">
        <f t="shared" ca="1" si="173"/>
        <v>0.22965405405604333</v>
      </c>
      <c r="G906" s="11">
        <f t="shared" ca="1" si="174"/>
        <v>1100</v>
      </c>
      <c r="H906" s="11">
        <f t="shared" ca="1" si="175"/>
        <v>1100</v>
      </c>
      <c r="I906" s="11">
        <f t="shared" ca="1" si="176"/>
        <v>0.47519057942392318</v>
      </c>
      <c r="J906" s="11">
        <f t="shared" ca="1" si="177"/>
        <v>5</v>
      </c>
      <c r="K906" s="24">
        <v>96</v>
      </c>
      <c r="L906" s="24">
        <f t="shared" ca="1" si="178"/>
        <v>50</v>
      </c>
      <c r="M906" s="24">
        <v>400</v>
      </c>
      <c r="N906" s="24">
        <v>20</v>
      </c>
      <c r="O906" s="24">
        <f t="shared" ca="1" si="179"/>
        <v>566</v>
      </c>
      <c r="P906" s="24">
        <v>924</v>
      </c>
      <c r="Q906" s="11">
        <f t="shared" ca="1" si="180"/>
        <v>50</v>
      </c>
      <c r="R906" s="24">
        <v>200</v>
      </c>
      <c r="S906" s="24">
        <v>10</v>
      </c>
      <c r="T906" s="24">
        <f t="shared" ca="1" si="181"/>
        <v>1184</v>
      </c>
    </row>
    <row r="907" spans="1:20" x14ac:dyDescent="0.45">
      <c r="A907" s="11">
        <v>894</v>
      </c>
      <c r="B907" s="11">
        <f t="shared" ca="1" si="169"/>
        <v>0.43995189580561678</v>
      </c>
      <c r="C907" s="11">
        <f t="shared" ca="1" si="170"/>
        <v>1200</v>
      </c>
      <c r="D907" s="11">
        <f t="shared" ca="1" si="171"/>
        <v>0.13055832226936648</v>
      </c>
      <c r="E907" s="11">
        <f t="shared" ca="1" si="172"/>
        <v>1100</v>
      </c>
      <c r="F907" s="11">
        <f t="shared" ca="1" si="173"/>
        <v>0.42950356110596077</v>
      </c>
      <c r="G907" s="11">
        <f t="shared" ca="1" si="174"/>
        <v>1200</v>
      </c>
      <c r="H907" s="11">
        <f t="shared" ca="1" si="175"/>
        <v>1100</v>
      </c>
      <c r="I907" s="11">
        <f t="shared" ca="1" si="176"/>
        <v>0.85445391965475925</v>
      </c>
      <c r="J907" s="11">
        <f t="shared" ca="1" si="177"/>
        <v>10</v>
      </c>
      <c r="K907" s="24">
        <v>96</v>
      </c>
      <c r="L907" s="24">
        <f t="shared" ca="1" si="178"/>
        <v>100</v>
      </c>
      <c r="M907" s="24">
        <v>400</v>
      </c>
      <c r="N907" s="24">
        <v>20</v>
      </c>
      <c r="O907" s="24">
        <f t="shared" ca="1" si="179"/>
        <v>616</v>
      </c>
      <c r="P907" s="24">
        <v>925</v>
      </c>
      <c r="Q907" s="11">
        <f t="shared" ca="1" si="180"/>
        <v>100</v>
      </c>
      <c r="R907" s="24">
        <v>200</v>
      </c>
      <c r="S907" s="24">
        <v>10</v>
      </c>
      <c r="T907" s="24">
        <f t="shared" ca="1" si="181"/>
        <v>1235</v>
      </c>
    </row>
    <row r="908" spans="1:20" x14ac:dyDescent="0.45">
      <c r="A908" s="11">
        <v>895</v>
      </c>
      <c r="B908" s="11">
        <f t="shared" ca="1" si="169"/>
        <v>9.7922826118103656E-2</v>
      </c>
      <c r="C908" s="11">
        <f t="shared" ca="1" si="170"/>
        <v>1000</v>
      </c>
      <c r="D908" s="11">
        <f t="shared" ca="1" si="171"/>
        <v>0.80546352462565185</v>
      </c>
      <c r="E908" s="11">
        <f t="shared" ca="1" si="172"/>
        <v>1500</v>
      </c>
      <c r="F908" s="11">
        <f t="shared" ca="1" si="173"/>
        <v>0.3917840944302402</v>
      </c>
      <c r="G908" s="11">
        <f t="shared" ca="1" si="174"/>
        <v>1200</v>
      </c>
      <c r="H908" s="11">
        <f t="shared" ca="1" si="175"/>
        <v>1000</v>
      </c>
      <c r="I908" s="11">
        <f t="shared" ca="1" si="176"/>
        <v>0.40234887437546629</v>
      </c>
      <c r="J908" s="11">
        <f t="shared" ca="1" si="177"/>
        <v>5</v>
      </c>
      <c r="K908" s="24">
        <v>96</v>
      </c>
      <c r="L908" s="24">
        <f t="shared" ca="1" si="178"/>
        <v>50</v>
      </c>
      <c r="M908" s="24">
        <v>400</v>
      </c>
      <c r="N908" s="24">
        <v>20</v>
      </c>
      <c r="O908" s="24">
        <f t="shared" ca="1" si="179"/>
        <v>566</v>
      </c>
      <c r="P908" s="24">
        <v>926</v>
      </c>
      <c r="Q908" s="11">
        <f t="shared" ca="1" si="180"/>
        <v>50</v>
      </c>
      <c r="R908" s="24">
        <v>200</v>
      </c>
      <c r="S908" s="24">
        <v>10</v>
      </c>
      <c r="T908" s="24">
        <f t="shared" ca="1" si="181"/>
        <v>1186</v>
      </c>
    </row>
    <row r="909" spans="1:20" x14ac:dyDescent="0.45">
      <c r="A909" s="11">
        <v>896</v>
      </c>
      <c r="B909" s="11">
        <f t="shared" ca="1" si="169"/>
        <v>0.71370235144481808</v>
      </c>
      <c r="C909" s="11">
        <f t="shared" ca="1" si="170"/>
        <v>1500</v>
      </c>
      <c r="D909" s="11">
        <f t="shared" ca="1" si="171"/>
        <v>0.34158260093329718</v>
      </c>
      <c r="E909" s="11">
        <f t="shared" ca="1" si="172"/>
        <v>1200</v>
      </c>
      <c r="F909" s="11">
        <f t="shared" ca="1" si="173"/>
        <v>0.72817322621014846</v>
      </c>
      <c r="G909" s="11">
        <f t="shared" ca="1" si="174"/>
        <v>1500</v>
      </c>
      <c r="H909" s="11">
        <f t="shared" ca="1" si="175"/>
        <v>1200</v>
      </c>
      <c r="I909" s="11">
        <f t="shared" ca="1" si="176"/>
        <v>0.78192644405089873</v>
      </c>
      <c r="J909" s="11">
        <f t="shared" ca="1" si="177"/>
        <v>10</v>
      </c>
      <c r="K909" s="24">
        <v>96</v>
      </c>
      <c r="L909" s="24">
        <f t="shared" ca="1" si="178"/>
        <v>100</v>
      </c>
      <c r="M909" s="24">
        <v>400</v>
      </c>
      <c r="N909" s="24">
        <v>20</v>
      </c>
      <c r="O909" s="24">
        <f t="shared" ca="1" si="179"/>
        <v>616</v>
      </c>
      <c r="P909" s="24">
        <v>927</v>
      </c>
      <c r="Q909" s="11">
        <f t="shared" ca="1" si="180"/>
        <v>100</v>
      </c>
      <c r="R909" s="24">
        <v>200</v>
      </c>
      <c r="S909" s="24">
        <v>10</v>
      </c>
      <c r="T909" s="24">
        <f t="shared" ca="1" si="181"/>
        <v>1237</v>
      </c>
    </row>
    <row r="910" spans="1:20" x14ac:dyDescent="0.45">
      <c r="A910" s="11">
        <v>897</v>
      </c>
      <c r="B910" s="11">
        <f t="shared" ca="1" si="169"/>
        <v>0.72906074703640233</v>
      </c>
      <c r="C910" s="11">
        <f t="shared" ca="1" si="170"/>
        <v>1500</v>
      </c>
      <c r="D910" s="11">
        <f t="shared" ca="1" si="171"/>
        <v>0.81090444306041976</v>
      </c>
      <c r="E910" s="11">
        <f t="shared" ca="1" si="172"/>
        <v>1500</v>
      </c>
      <c r="F910" s="11">
        <f t="shared" ca="1" si="173"/>
        <v>0.11967383268306464</v>
      </c>
      <c r="G910" s="11">
        <f t="shared" ca="1" si="174"/>
        <v>1100</v>
      </c>
      <c r="H910" s="11">
        <f t="shared" ca="1" si="175"/>
        <v>1100</v>
      </c>
      <c r="I910" s="11">
        <f t="shared" ca="1" si="176"/>
        <v>0.79072974761444914</v>
      </c>
      <c r="J910" s="11">
        <f t="shared" ca="1" si="177"/>
        <v>10</v>
      </c>
      <c r="K910" s="24">
        <v>96</v>
      </c>
      <c r="L910" s="24">
        <f t="shared" ca="1" si="178"/>
        <v>100</v>
      </c>
      <c r="M910" s="24">
        <v>400</v>
      </c>
      <c r="N910" s="24">
        <v>20</v>
      </c>
      <c r="O910" s="24">
        <f t="shared" ca="1" si="179"/>
        <v>616</v>
      </c>
      <c r="P910" s="24">
        <v>928</v>
      </c>
      <c r="Q910" s="11">
        <f t="shared" ca="1" si="180"/>
        <v>100</v>
      </c>
      <c r="R910" s="24">
        <v>200</v>
      </c>
      <c r="S910" s="24">
        <v>10</v>
      </c>
      <c r="T910" s="24">
        <f t="shared" ca="1" si="181"/>
        <v>1238</v>
      </c>
    </row>
    <row r="911" spans="1:20" x14ac:dyDescent="0.45">
      <c r="A911" s="11">
        <v>898</v>
      </c>
      <c r="B911" s="11">
        <f t="shared" ref="B911:B974" ca="1" si="182">RAND()</f>
        <v>7.8342188044553285E-2</v>
      </c>
      <c r="C911" s="11">
        <f t="shared" ref="C911:C974" ca="1" si="183">LOOKUP(B911, $C$2:$C$11, $A$2:$A$11)</f>
        <v>1000</v>
      </c>
      <c r="D911" s="11">
        <f t="shared" ref="D911:D974" ca="1" si="184">RAND()</f>
        <v>0.88864013180635104</v>
      </c>
      <c r="E911" s="11">
        <f t="shared" ref="E911:E974" ca="1" si="185">LOOKUP(D911, $C$2:$C$11, $A$2:$A$11)</f>
        <v>1700</v>
      </c>
      <c r="F911" s="11">
        <f t="shared" ref="F911:F974" ca="1" si="186">RAND()</f>
        <v>0.28526116560085335</v>
      </c>
      <c r="G911" s="11">
        <f t="shared" ref="G911:G974" ca="1" si="187">LOOKUP(F911, $C$2:$C$11, $A$2:$A$11)</f>
        <v>1200</v>
      </c>
      <c r="H911" s="11">
        <f t="shared" ref="H911:H974" ca="1" si="188">MIN(C911, E911, G911)</f>
        <v>1000</v>
      </c>
      <c r="I911" s="11">
        <f t="shared" ref="I911:I974" ca="1" si="189">RAND()</f>
        <v>0.87058991907383632</v>
      </c>
      <c r="J911" s="11">
        <f t="shared" ref="J911:J974" ca="1" si="190">LOOKUP(I911, $G$2:$G$4, $E$2:$E$4)</f>
        <v>10</v>
      </c>
      <c r="K911" s="24">
        <v>96</v>
      </c>
      <c r="L911" s="24">
        <f t="shared" ref="L911:L974" ca="1" si="191">J911*10</f>
        <v>100</v>
      </c>
      <c r="M911" s="24">
        <v>400</v>
      </c>
      <c r="N911" s="24">
        <v>20</v>
      </c>
      <c r="O911" s="24">
        <f t="shared" ref="O911:O974" ca="1" si="192">K911+L911+M911+N911</f>
        <v>616</v>
      </c>
      <c r="P911" s="24">
        <v>929</v>
      </c>
      <c r="Q911" s="11">
        <f t="shared" ref="Q911:Q974" ca="1" si="193">J911*10</f>
        <v>100</v>
      </c>
      <c r="R911" s="24">
        <v>200</v>
      </c>
      <c r="S911" s="24">
        <v>10</v>
      </c>
      <c r="T911" s="24">
        <f t="shared" ref="T911:T974" ca="1" si="194">SUM(P911:S911)</f>
        <v>1239</v>
      </c>
    </row>
    <row r="912" spans="1:20" x14ac:dyDescent="0.45">
      <c r="A912" s="11">
        <v>899</v>
      </c>
      <c r="B912" s="11">
        <f t="shared" ca="1" si="182"/>
        <v>2.7301593888294895E-2</v>
      </c>
      <c r="C912" s="11">
        <f t="shared" ca="1" si="183"/>
        <v>1000</v>
      </c>
      <c r="D912" s="11">
        <f t="shared" ca="1" si="184"/>
        <v>2.6043912657101598E-2</v>
      </c>
      <c r="E912" s="11">
        <f t="shared" ca="1" si="185"/>
        <v>1000</v>
      </c>
      <c r="F912" s="11">
        <f t="shared" ca="1" si="186"/>
        <v>0.771572831820864</v>
      </c>
      <c r="G912" s="11">
        <f t="shared" ca="1" si="187"/>
        <v>1500</v>
      </c>
      <c r="H912" s="11">
        <f t="shared" ca="1" si="188"/>
        <v>1000</v>
      </c>
      <c r="I912" s="11">
        <f t="shared" ca="1" si="189"/>
        <v>0.94024090188192699</v>
      </c>
      <c r="J912" s="11">
        <f t="shared" ca="1" si="190"/>
        <v>15</v>
      </c>
      <c r="K912" s="24">
        <v>96</v>
      </c>
      <c r="L912" s="24">
        <f t="shared" ca="1" si="191"/>
        <v>150</v>
      </c>
      <c r="M912" s="24">
        <v>400</v>
      </c>
      <c r="N912" s="24">
        <v>20</v>
      </c>
      <c r="O912" s="24">
        <f t="shared" ca="1" si="192"/>
        <v>666</v>
      </c>
      <c r="P912" s="24">
        <v>930</v>
      </c>
      <c r="Q912" s="11">
        <f t="shared" ca="1" si="193"/>
        <v>150</v>
      </c>
      <c r="R912" s="24">
        <v>200</v>
      </c>
      <c r="S912" s="24">
        <v>10</v>
      </c>
      <c r="T912" s="24">
        <f t="shared" ca="1" si="194"/>
        <v>1290</v>
      </c>
    </row>
    <row r="913" spans="1:20" x14ac:dyDescent="0.45">
      <c r="A913" s="11">
        <v>900</v>
      </c>
      <c r="B913" s="11">
        <f t="shared" ca="1" si="182"/>
        <v>0.77610405329134957</v>
      </c>
      <c r="C913" s="11">
        <f t="shared" ca="1" si="183"/>
        <v>1500</v>
      </c>
      <c r="D913" s="11">
        <f t="shared" ca="1" si="184"/>
        <v>0.1415090623786307</v>
      </c>
      <c r="E913" s="11">
        <f t="shared" ca="1" si="185"/>
        <v>1100</v>
      </c>
      <c r="F913" s="11">
        <f t="shared" ca="1" si="186"/>
        <v>0.22000847187547479</v>
      </c>
      <c r="G913" s="11">
        <f t="shared" ca="1" si="187"/>
        <v>1100</v>
      </c>
      <c r="H913" s="11">
        <f t="shared" ca="1" si="188"/>
        <v>1100</v>
      </c>
      <c r="I913" s="11">
        <f t="shared" ca="1" si="189"/>
        <v>0.1296306186908045</v>
      </c>
      <c r="J913" s="11">
        <f t="shared" ca="1" si="190"/>
        <v>5</v>
      </c>
      <c r="K913" s="24">
        <v>96</v>
      </c>
      <c r="L913" s="24">
        <f t="shared" ca="1" si="191"/>
        <v>50</v>
      </c>
      <c r="M913" s="24">
        <v>400</v>
      </c>
      <c r="N913" s="24">
        <v>20</v>
      </c>
      <c r="O913" s="24">
        <f t="shared" ca="1" si="192"/>
        <v>566</v>
      </c>
      <c r="P913" s="24">
        <v>931</v>
      </c>
      <c r="Q913" s="11">
        <f t="shared" ca="1" si="193"/>
        <v>50</v>
      </c>
      <c r="R913" s="24">
        <v>200</v>
      </c>
      <c r="S913" s="24">
        <v>10</v>
      </c>
      <c r="T913" s="24">
        <f t="shared" ca="1" si="194"/>
        <v>1191</v>
      </c>
    </row>
    <row r="914" spans="1:20" x14ac:dyDescent="0.45">
      <c r="A914" s="11">
        <v>901</v>
      </c>
      <c r="B914" s="11">
        <f t="shared" ca="1" si="182"/>
        <v>0.16200388970325275</v>
      </c>
      <c r="C914" s="11">
        <f t="shared" ca="1" si="183"/>
        <v>1100</v>
      </c>
      <c r="D914" s="11">
        <f t="shared" ca="1" si="184"/>
        <v>0.98455003519788897</v>
      </c>
      <c r="E914" s="11">
        <f t="shared" ca="1" si="185"/>
        <v>1900</v>
      </c>
      <c r="F914" s="11">
        <f t="shared" ca="1" si="186"/>
        <v>0.5160818485663714</v>
      </c>
      <c r="G914" s="11">
        <f t="shared" ca="1" si="187"/>
        <v>1300</v>
      </c>
      <c r="H914" s="11">
        <f t="shared" ca="1" si="188"/>
        <v>1100</v>
      </c>
      <c r="I914" s="11">
        <f t="shared" ca="1" si="189"/>
        <v>0.83964329885101718</v>
      </c>
      <c r="J914" s="11">
        <f t="shared" ca="1" si="190"/>
        <v>10</v>
      </c>
      <c r="K914" s="24">
        <v>96</v>
      </c>
      <c r="L914" s="24">
        <f t="shared" ca="1" si="191"/>
        <v>100</v>
      </c>
      <c r="M914" s="24">
        <v>400</v>
      </c>
      <c r="N914" s="24">
        <v>20</v>
      </c>
      <c r="O914" s="24">
        <f t="shared" ca="1" si="192"/>
        <v>616</v>
      </c>
      <c r="P914" s="24">
        <v>932</v>
      </c>
      <c r="Q914" s="11">
        <f t="shared" ca="1" si="193"/>
        <v>100</v>
      </c>
      <c r="R914" s="24">
        <v>200</v>
      </c>
      <c r="S914" s="24">
        <v>10</v>
      </c>
      <c r="T914" s="24">
        <f t="shared" ca="1" si="194"/>
        <v>1242</v>
      </c>
    </row>
    <row r="915" spans="1:20" x14ac:dyDescent="0.45">
      <c r="A915" s="11">
        <v>902</v>
      </c>
      <c r="B915" s="11">
        <f t="shared" ca="1" si="182"/>
        <v>0.19723821129717178</v>
      </c>
      <c r="C915" s="11">
        <f t="shared" ca="1" si="183"/>
        <v>1100</v>
      </c>
      <c r="D915" s="11">
        <f t="shared" ca="1" si="184"/>
        <v>0.96199075937265399</v>
      </c>
      <c r="E915" s="11">
        <f t="shared" ca="1" si="185"/>
        <v>1900</v>
      </c>
      <c r="F915" s="11">
        <f t="shared" ca="1" si="186"/>
        <v>0.3519444327990785</v>
      </c>
      <c r="G915" s="11">
        <f t="shared" ca="1" si="187"/>
        <v>1200</v>
      </c>
      <c r="H915" s="11">
        <f t="shared" ca="1" si="188"/>
        <v>1100</v>
      </c>
      <c r="I915" s="11">
        <f t="shared" ca="1" si="189"/>
        <v>0.11429792731563526</v>
      </c>
      <c r="J915" s="11">
        <f t="shared" ca="1" si="190"/>
        <v>5</v>
      </c>
      <c r="K915" s="24">
        <v>96</v>
      </c>
      <c r="L915" s="24">
        <f t="shared" ca="1" si="191"/>
        <v>50</v>
      </c>
      <c r="M915" s="24">
        <v>400</v>
      </c>
      <c r="N915" s="24">
        <v>20</v>
      </c>
      <c r="O915" s="24">
        <f t="shared" ca="1" si="192"/>
        <v>566</v>
      </c>
      <c r="P915" s="24">
        <v>933</v>
      </c>
      <c r="Q915" s="11">
        <f t="shared" ca="1" si="193"/>
        <v>50</v>
      </c>
      <c r="R915" s="24">
        <v>200</v>
      </c>
      <c r="S915" s="24">
        <v>10</v>
      </c>
      <c r="T915" s="24">
        <f t="shared" ca="1" si="194"/>
        <v>1193</v>
      </c>
    </row>
    <row r="916" spans="1:20" x14ac:dyDescent="0.45">
      <c r="A916" s="11">
        <v>903</v>
      </c>
      <c r="B916" s="11">
        <f t="shared" ca="1" si="182"/>
        <v>0.42921220969415985</v>
      </c>
      <c r="C916" s="11">
        <f t="shared" ca="1" si="183"/>
        <v>1200</v>
      </c>
      <c r="D916" s="11">
        <f t="shared" ca="1" si="184"/>
        <v>0.91793209373816753</v>
      </c>
      <c r="E916" s="11">
        <f t="shared" ca="1" si="185"/>
        <v>1800</v>
      </c>
      <c r="F916" s="11">
        <f t="shared" ca="1" si="186"/>
        <v>0.63029032649296257</v>
      </c>
      <c r="G916" s="11">
        <f t="shared" ca="1" si="187"/>
        <v>1400</v>
      </c>
      <c r="H916" s="11">
        <f t="shared" ca="1" si="188"/>
        <v>1200</v>
      </c>
      <c r="I916" s="11">
        <f t="shared" ca="1" si="189"/>
        <v>0.30943771046873658</v>
      </c>
      <c r="J916" s="11">
        <f t="shared" ca="1" si="190"/>
        <v>5</v>
      </c>
      <c r="K916" s="24">
        <v>96</v>
      </c>
      <c r="L916" s="24">
        <f t="shared" ca="1" si="191"/>
        <v>50</v>
      </c>
      <c r="M916" s="24">
        <v>400</v>
      </c>
      <c r="N916" s="24">
        <v>20</v>
      </c>
      <c r="O916" s="24">
        <f t="shared" ca="1" si="192"/>
        <v>566</v>
      </c>
      <c r="P916" s="24">
        <v>934</v>
      </c>
      <c r="Q916" s="11">
        <f t="shared" ca="1" si="193"/>
        <v>50</v>
      </c>
      <c r="R916" s="24">
        <v>200</v>
      </c>
      <c r="S916" s="24">
        <v>10</v>
      </c>
      <c r="T916" s="24">
        <f t="shared" ca="1" si="194"/>
        <v>1194</v>
      </c>
    </row>
    <row r="917" spans="1:20" x14ac:dyDescent="0.45">
      <c r="A917" s="11">
        <v>904</v>
      </c>
      <c r="B917" s="11">
        <f t="shared" ca="1" si="182"/>
        <v>0.48574824229435132</v>
      </c>
      <c r="C917" s="11">
        <f t="shared" ca="1" si="183"/>
        <v>1300</v>
      </c>
      <c r="D917" s="11">
        <f t="shared" ca="1" si="184"/>
        <v>0.10481269768205115</v>
      </c>
      <c r="E917" s="11">
        <f t="shared" ca="1" si="185"/>
        <v>1100</v>
      </c>
      <c r="F917" s="11">
        <f t="shared" ca="1" si="186"/>
        <v>0.21735808109516708</v>
      </c>
      <c r="G917" s="11">
        <f t="shared" ca="1" si="187"/>
        <v>1100</v>
      </c>
      <c r="H917" s="11">
        <f t="shared" ca="1" si="188"/>
        <v>1100</v>
      </c>
      <c r="I917" s="11">
        <f t="shared" ca="1" si="189"/>
        <v>4.7380646681222105E-2</v>
      </c>
      <c r="J917" s="11">
        <f t="shared" ca="1" si="190"/>
        <v>5</v>
      </c>
      <c r="K917" s="24">
        <v>96</v>
      </c>
      <c r="L917" s="24">
        <f t="shared" ca="1" si="191"/>
        <v>50</v>
      </c>
      <c r="M917" s="24">
        <v>400</v>
      </c>
      <c r="N917" s="24">
        <v>20</v>
      </c>
      <c r="O917" s="24">
        <f t="shared" ca="1" si="192"/>
        <v>566</v>
      </c>
      <c r="P917" s="24">
        <v>935</v>
      </c>
      <c r="Q917" s="11">
        <f t="shared" ca="1" si="193"/>
        <v>50</v>
      </c>
      <c r="R917" s="24">
        <v>200</v>
      </c>
      <c r="S917" s="24">
        <v>10</v>
      </c>
      <c r="T917" s="24">
        <f t="shared" ca="1" si="194"/>
        <v>1195</v>
      </c>
    </row>
    <row r="918" spans="1:20" x14ac:dyDescent="0.45">
      <c r="A918" s="11">
        <v>905</v>
      </c>
      <c r="B918" s="11">
        <f t="shared" ca="1" si="182"/>
        <v>8.2761149463212336E-2</v>
      </c>
      <c r="C918" s="11">
        <f t="shared" ca="1" si="183"/>
        <v>1000</v>
      </c>
      <c r="D918" s="11">
        <f t="shared" ca="1" si="184"/>
        <v>0.14023775045971798</v>
      </c>
      <c r="E918" s="11">
        <f t="shared" ca="1" si="185"/>
        <v>1100</v>
      </c>
      <c r="F918" s="11">
        <f t="shared" ca="1" si="186"/>
        <v>0.30717325006903429</v>
      </c>
      <c r="G918" s="11">
        <f t="shared" ca="1" si="187"/>
        <v>1200</v>
      </c>
      <c r="H918" s="11">
        <f t="shared" ca="1" si="188"/>
        <v>1000</v>
      </c>
      <c r="I918" s="11">
        <f t="shared" ca="1" si="189"/>
        <v>0.89827390688656805</v>
      </c>
      <c r="J918" s="11">
        <f t="shared" ca="1" si="190"/>
        <v>10</v>
      </c>
      <c r="K918" s="24">
        <v>96</v>
      </c>
      <c r="L918" s="24">
        <f t="shared" ca="1" si="191"/>
        <v>100</v>
      </c>
      <c r="M918" s="24">
        <v>400</v>
      </c>
      <c r="N918" s="24">
        <v>20</v>
      </c>
      <c r="O918" s="24">
        <f t="shared" ca="1" si="192"/>
        <v>616</v>
      </c>
      <c r="P918" s="24">
        <v>936</v>
      </c>
      <c r="Q918" s="11">
        <f t="shared" ca="1" si="193"/>
        <v>100</v>
      </c>
      <c r="R918" s="24">
        <v>200</v>
      </c>
      <c r="S918" s="24">
        <v>10</v>
      </c>
      <c r="T918" s="24">
        <f t="shared" ca="1" si="194"/>
        <v>1246</v>
      </c>
    </row>
    <row r="919" spans="1:20" x14ac:dyDescent="0.45">
      <c r="A919" s="11">
        <v>906</v>
      </c>
      <c r="B919" s="11">
        <f t="shared" ca="1" si="182"/>
        <v>0.83019855365704787</v>
      </c>
      <c r="C919" s="11">
        <f t="shared" ca="1" si="183"/>
        <v>1600</v>
      </c>
      <c r="D919" s="11">
        <f t="shared" ca="1" si="184"/>
        <v>0.27662407193854865</v>
      </c>
      <c r="E919" s="11">
        <f t="shared" ca="1" si="185"/>
        <v>1200</v>
      </c>
      <c r="F919" s="11">
        <f t="shared" ca="1" si="186"/>
        <v>0.17753937333626924</v>
      </c>
      <c r="G919" s="11">
        <f t="shared" ca="1" si="187"/>
        <v>1100</v>
      </c>
      <c r="H919" s="11">
        <f t="shared" ca="1" si="188"/>
        <v>1100</v>
      </c>
      <c r="I919" s="11">
        <f t="shared" ca="1" si="189"/>
        <v>0.7249192293121528</v>
      </c>
      <c r="J919" s="11">
        <f t="shared" ca="1" si="190"/>
        <v>10</v>
      </c>
      <c r="K919" s="24">
        <v>96</v>
      </c>
      <c r="L919" s="24">
        <f t="shared" ca="1" si="191"/>
        <v>100</v>
      </c>
      <c r="M919" s="24">
        <v>400</v>
      </c>
      <c r="N919" s="24">
        <v>20</v>
      </c>
      <c r="O919" s="24">
        <f t="shared" ca="1" si="192"/>
        <v>616</v>
      </c>
      <c r="P919" s="24">
        <v>937</v>
      </c>
      <c r="Q919" s="11">
        <f t="shared" ca="1" si="193"/>
        <v>100</v>
      </c>
      <c r="R919" s="24">
        <v>200</v>
      </c>
      <c r="S919" s="24">
        <v>10</v>
      </c>
      <c r="T919" s="24">
        <f t="shared" ca="1" si="194"/>
        <v>1247</v>
      </c>
    </row>
    <row r="920" spans="1:20" x14ac:dyDescent="0.45">
      <c r="A920" s="11">
        <v>907</v>
      </c>
      <c r="B920" s="11">
        <f t="shared" ca="1" si="182"/>
        <v>0.19250793947214861</v>
      </c>
      <c r="C920" s="11">
        <f t="shared" ca="1" si="183"/>
        <v>1100</v>
      </c>
      <c r="D920" s="11">
        <f t="shared" ca="1" si="184"/>
        <v>0.93044540992641978</v>
      </c>
      <c r="E920" s="11">
        <f t="shared" ca="1" si="185"/>
        <v>1800</v>
      </c>
      <c r="F920" s="11">
        <f t="shared" ca="1" si="186"/>
        <v>0.45515551627044759</v>
      </c>
      <c r="G920" s="11">
        <f t="shared" ca="1" si="187"/>
        <v>1200</v>
      </c>
      <c r="H920" s="11">
        <f t="shared" ca="1" si="188"/>
        <v>1100</v>
      </c>
      <c r="I920" s="11">
        <f t="shared" ca="1" si="189"/>
        <v>0.28101113531603328</v>
      </c>
      <c r="J920" s="11">
        <f t="shared" ca="1" si="190"/>
        <v>5</v>
      </c>
      <c r="K920" s="24">
        <v>96</v>
      </c>
      <c r="L920" s="24">
        <f t="shared" ca="1" si="191"/>
        <v>50</v>
      </c>
      <c r="M920" s="24">
        <v>400</v>
      </c>
      <c r="N920" s="24">
        <v>20</v>
      </c>
      <c r="O920" s="24">
        <f t="shared" ca="1" si="192"/>
        <v>566</v>
      </c>
      <c r="P920" s="24">
        <v>938</v>
      </c>
      <c r="Q920" s="11">
        <f t="shared" ca="1" si="193"/>
        <v>50</v>
      </c>
      <c r="R920" s="24">
        <v>200</v>
      </c>
      <c r="S920" s="24">
        <v>10</v>
      </c>
      <c r="T920" s="24">
        <f t="shared" ca="1" si="194"/>
        <v>1198</v>
      </c>
    </row>
    <row r="921" spans="1:20" x14ac:dyDescent="0.45">
      <c r="A921" s="11">
        <v>908</v>
      </c>
      <c r="B921" s="11">
        <f t="shared" ca="1" si="182"/>
        <v>0.25193806624084447</v>
      </c>
      <c r="C921" s="11">
        <f t="shared" ca="1" si="183"/>
        <v>1200</v>
      </c>
      <c r="D921" s="11">
        <f t="shared" ca="1" si="184"/>
        <v>0.7237669268305178</v>
      </c>
      <c r="E921" s="11">
        <f t="shared" ca="1" si="185"/>
        <v>1500</v>
      </c>
      <c r="F921" s="11">
        <f t="shared" ca="1" si="186"/>
        <v>6.9575548274405263E-2</v>
      </c>
      <c r="G921" s="11">
        <f t="shared" ca="1" si="187"/>
        <v>1000</v>
      </c>
      <c r="H921" s="11">
        <f t="shared" ca="1" si="188"/>
        <v>1000</v>
      </c>
      <c r="I921" s="11">
        <f t="shared" ca="1" si="189"/>
        <v>0.36393273037784757</v>
      </c>
      <c r="J921" s="11">
        <f t="shared" ca="1" si="190"/>
        <v>5</v>
      </c>
      <c r="K921" s="24">
        <v>96</v>
      </c>
      <c r="L921" s="24">
        <f t="shared" ca="1" si="191"/>
        <v>50</v>
      </c>
      <c r="M921" s="24">
        <v>400</v>
      </c>
      <c r="N921" s="24">
        <v>20</v>
      </c>
      <c r="O921" s="24">
        <f t="shared" ca="1" si="192"/>
        <v>566</v>
      </c>
      <c r="P921" s="24">
        <v>939</v>
      </c>
      <c r="Q921" s="11">
        <f t="shared" ca="1" si="193"/>
        <v>50</v>
      </c>
      <c r="R921" s="24">
        <v>200</v>
      </c>
      <c r="S921" s="24">
        <v>10</v>
      </c>
      <c r="T921" s="24">
        <f t="shared" ca="1" si="194"/>
        <v>1199</v>
      </c>
    </row>
    <row r="922" spans="1:20" x14ac:dyDescent="0.45">
      <c r="A922" s="11">
        <v>909</v>
      </c>
      <c r="B922" s="11">
        <f t="shared" ca="1" si="182"/>
        <v>0.29232428504082508</v>
      </c>
      <c r="C922" s="11">
        <f t="shared" ca="1" si="183"/>
        <v>1200</v>
      </c>
      <c r="D922" s="11">
        <f t="shared" ca="1" si="184"/>
        <v>0.14422562690216256</v>
      </c>
      <c r="E922" s="11">
        <f t="shared" ca="1" si="185"/>
        <v>1100</v>
      </c>
      <c r="F922" s="11">
        <f t="shared" ca="1" si="186"/>
        <v>0.445933480274884</v>
      </c>
      <c r="G922" s="11">
        <f t="shared" ca="1" si="187"/>
        <v>1200</v>
      </c>
      <c r="H922" s="11">
        <f t="shared" ca="1" si="188"/>
        <v>1100</v>
      </c>
      <c r="I922" s="11">
        <f t="shared" ca="1" si="189"/>
        <v>0.35987482970058504</v>
      </c>
      <c r="J922" s="11">
        <f t="shared" ca="1" si="190"/>
        <v>5</v>
      </c>
      <c r="K922" s="24">
        <v>96</v>
      </c>
      <c r="L922" s="24">
        <f t="shared" ca="1" si="191"/>
        <v>50</v>
      </c>
      <c r="M922" s="24">
        <v>400</v>
      </c>
      <c r="N922" s="24">
        <v>20</v>
      </c>
      <c r="O922" s="24">
        <f t="shared" ca="1" si="192"/>
        <v>566</v>
      </c>
      <c r="P922" s="24">
        <v>940</v>
      </c>
      <c r="Q922" s="11">
        <f t="shared" ca="1" si="193"/>
        <v>50</v>
      </c>
      <c r="R922" s="24">
        <v>200</v>
      </c>
      <c r="S922" s="24">
        <v>10</v>
      </c>
      <c r="T922" s="24">
        <f t="shared" ca="1" si="194"/>
        <v>1200</v>
      </c>
    </row>
    <row r="923" spans="1:20" x14ac:dyDescent="0.45">
      <c r="A923" s="11">
        <v>910</v>
      </c>
      <c r="B923" s="11">
        <f t="shared" ca="1" si="182"/>
        <v>0.78957462351458774</v>
      </c>
      <c r="C923" s="11">
        <f t="shared" ca="1" si="183"/>
        <v>1500</v>
      </c>
      <c r="D923" s="11">
        <f t="shared" ca="1" si="184"/>
        <v>0.82499120182698671</v>
      </c>
      <c r="E923" s="11">
        <f t="shared" ca="1" si="185"/>
        <v>1600</v>
      </c>
      <c r="F923" s="11">
        <f t="shared" ca="1" si="186"/>
        <v>0.49242795623212876</v>
      </c>
      <c r="G923" s="11">
        <f t="shared" ca="1" si="187"/>
        <v>1300</v>
      </c>
      <c r="H923" s="11">
        <f t="shared" ca="1" si="188"/>
        <v>1300</v>
      </c>
      <c r="I923" s="11">
        <f t="shared" ca="1" si="189"/>
        <v>0.33285318245020601</v>
      </c>
      <c r="J923" s="11">
        <f t="shared" ca="1" si="190"/>
        <v>5</v>
      </c>
      <c r="K923" s="24">
        <v>96</v>
      </c>
      <c r="L923" s="24">
        <f t="shared" ca="1" si="191"/>
        <v>50</v>
      </c>
      <c r="M923" s="24">
        <v>400</v>
      </c>
      <c r="N923" s="24">
        <v>20</v>
      </c>
      <c r="O923" s="24">
        <f t="shared" ca="1" si="192"/>
        <v>566</v>
      </c>
      <c r="P923" s="24">
        <v>941</v>
      </c>
      <c r="Q923" s="11">
        <f t="shared" ca="1" si="193"/>
        <v>50</v>
      </c>
      <c r="R923" s="24">
        <v>200</v>
      </c>
      <c r="S923" s="24">
        <v>10</v>
      </c>
      <c r="T923" s="24">
        <f t="shared" ca="1" si="194"/>
        <v>1201</v>
      </c>
    </row>
    <row r="924" spans="1:20" x14ac:dyDescent="0.45">
      <c r="A924" s="11">
        <v>911</v>
      </c>
      <c r="B924" s="11">
        <f t="shared" ca="1" si="182"/>
        <v>0.15462129673653546</v>
      </c>
      <c r="C924" s="11">
        <f t="shared" ca="1" si="183"/>
        <v>1100</v>
      </c>
      <c r="D924" s="11">
        <f t="shared" ca="1" si="184"/>
        <v>0.6119921945827288</v>
      </c>
      <c r="E924" s="11">
        <f t="shared" ca="1" si="185"/>
        <v>1400</v>
      </c>
      <c r="F924" s="11">
        <f t="shared" ca="1" si="186"/>
        <v>0.16523417229342485</v>
      </c>
      <c r="G924" s="11">
        <f t="shared" ca="1" si="187"/>
        <v>1100</v>
      </c>
      <c r="H924" s="11">
        <f t="shared" ca="1" si="188"/>
        <v>1100</v>
      </c>
      <c r="I924" s="11">
        <f t="shared" ca="1" si="189"/>
        <v>0.6598980347477249</v>
      </c>
      <c r="J924" s="11">
        <f t="shared" ca="1" si="190"/>
        <v>10</v>
      </c>
      <c r="K924" s="24">
        <v>96</v>
      </c>
      <c r="L924" s="24">
        <f t="shared" ca="1" si="191"/>
        <v>100</v>
      </c>
      <c r="M924" s="24">
        <v>400</v>
      </c>
      <c r="N924" s="24">
        <v>20</v>
      </c>
      <c r="O924" s="24">
        <f t="shared" ca="1" si="192"/>
        <v>616</v>
      </c>
      <c r="P924" s="24">
        <v>942</v>
      </c>
      <c r="Q924" s="11">
        <f t="shared" ca="1" si="193"/>
        <v>100</v>
      </c>
      <c r="R924" s="24">
        <v>200</v>
      </c>
      <c r="S924" s="24">
        <v>10</v>
      </c>
      <c r="T924" s="24">
        <f t="shared" ca="1" si="194"/>
        <v>1252</v>
      </c>
    </row>
    <row r="925" spans="1:20" x14ac:dyDescent="0.45">
      <c r="A925" s="11">
        <v>912</v>
      </c>
      <c r="B925" s="11">
        <f t="shared" ca="1" si="182"/>
        <v>0.54759117846889804</v>
      </c>
      <c r="C925" s="11">
        <f t="shared" ca="1" si="183"/>
        <v>1300</v>
      </c>
      <c r="D925" s="11">
        <f t="shared" ca="1" si="184"/>
        <v>0.46011956229885198</v>
      </c>
      <c r="E925" s="11">
        <f t="shared" ca="1" si="185"/>
        <v>1200</v>
      </c>
      <c r="F925" s="11">
        <f t="shared" ca="1" si="186"/>
        <v>2.2006659983455412E-2</v>
      </c>
      <c r="G925" s="11">
        <f t="shared" ca="1" si="187"/>
        <v>1000</v>
      </c>
      <c r="H925" s="11">
        <f t="shared" ca="1" si="188"/>
        <v>1000</v>
      </c>
      <c r="I925" s="11">
        <f t="shared" ca="1" si="189"/>
        <v>0.92358230159961729</v>
      </c>
      <c r="J925" s="11">
        <f t="shared" ca="1" si="190"/>
        <v>15</v>
      </c>
      <c r="K925" s="24">
        <v>96</v>
      </c>
      <c r="L925" s="24">
        <f t="shared" ca="1" si="191"/>
        <v>150</v>
      </c>
      <c r="M925" s="24">
        <v>400</v>
      </c>
      <c r="N925" s="24">
        <v>20</v>
      </c>
      <c r="O925" s="24">
        <f t="shared" ca="1" si="192"/>
        <v>666</v>
      </c>
      <c r="P925" s="24">
        <v>943</v>
      </c>
      <c r="Q925" s="11">
        <f t="shared" ca="1" si="193"/>
        <v>150</v>
      </c>
      <c r="R925" s="24">
        <v>200</v>
      </c>
      <c r="S925" s="24">
        <v>10</v>
      </c>
      <c r="T925" s="24">
        <f t="shared" ca="1" si="194"/>
        <v>1303</v>
      </c>
    </row>
    <row r="926" spans="1:20" x14ac:dyDescent="0.45">
      <c r="A926" s="11">
        <v>913</v>
      </c>
      <c r="B926" s="11">
        <f t="shared" ca="1" si="182"/>
        <v>0.6523693745010436</v>
      </c>
      <c r="C926" s="11">
        <f t="shared" ca="1" si="183"/>
        <v>1400</v>
      </c>
      <c r="D926" s="11">
        <f t="shared" ca="1" si="184"/>
        <v>2.0541195612710172E-2</v>
      </c>
      <c r="E926" s="11">
        <f t="shared" ca="1" si="185"/>
        <v>1000</v>
      </c>
      <c r="F926" s="11">
        <f t="shared" ca="1" si="186"/>
        <v>0.98847445726579519</v>
      </c>
      <c r="G926" s="11">
        <f t="shared" ca="1" si="187"/>
        <v>1900</v>
      </c>
      <c r="H926" s="11">
        <f t="shared" ca="1" si="188"/>
        <v>1000</v>
      </c>
      <c r="I926" s="11">
        <f t="shared" ca="1" si="189"/>
        <v>0.81669654234148747</v>
      </c>
      <c r="J926" s="11">
        <f t="shared" ca="1" si="190"/>
        <v>10</v>
      </c>
      <c r="K926" s="24">
        <v>96</v>
      </c>
      <c r="L926" s="24">
        <f t="shared" ca="1" si="191"/>
        <v>100</v>
      </c>
      <c r="M926" s="24">
        <v>400</v>
      </c>
      <c r="N926" s="24">
        <v>20</v>
      </c>
      <c r="O926" s="24">
        <f t="shared" ca="1" si="192"/>
        <v>616</v>
      </c>
      <c r="P926" s="24">
        <v>944</v>
      </c>
      <c r="Q926" s="11">
        <f t="shared" ca="1" si="193"/>
        <v>100</v>
      </c>
      <c r="R926" s="24">
        <v>200</v>
      </c>
      <c r="S926" s="24">
        <v>10</v>
      </c>
      <c r="T926" s="24">
        <f t="shared" ca="1" si="194"/>
        <v>1254</v>
      </c>
    </row>
    <row r="927" spans="1:20" x14ac:dyDescent="0.45">
      <c r="A927" s="11">
        <v>914</v>
      </c>
      <c r="B927" s="11">
        <f t="shared" ca="1" si="182"/>
        <v>0.30654416160930953</v>
      </c>
      <c r="C927" s="11">
        <f t="shared" ca="1" si="183"/>
        <v>1200</v>
      </c>
      <c r="D927" s="11">
        <f t="shared" ca="1" si="184"/>
        <v>0.20794787580930774</v>
      </c>
      <c r="E927" s="11">
        <f t="shared" ca="1" si="185"/>
        <v>1100</v>
      </c>
      <c r="F927" s="11">
        <f t="shared" ca="1" si="186"/>
        <v>0.49814589862345782</v>
      </c>
      <c r="G927" s="11">
        <f t="shared" ca="1" si="187"/>
        <v>1300</v>
      </c>
      <c r="H927" s="11">
        <f t="shared" ca="1" si="188"/>
        <v>1100</v>
      </c>
      <c r="I927" s="11">
        <f t="shared" ca="1" si="189"/>
        <v>0.70972409891382682</v>
      </c>
      <c r="J927" s="11">
        <f t="shared" ca="1" si="190"/>
        <v>10</v>
      </c>
      <c r="K927" s="24">
        <v>96</v>
      </c>
      <c r="L927" s="24">
        <f t="shared" ca="1" si="191"/>
        <v>100</v>
      </c>
      <c r="M927" s="24">
        <v>400</v>
      </c>
      <c r="N927" s="24">
        <v>20</v>
      </c>
      <c r="O927" s="24">
        <f t="shared" ca="1" si="192"/>
        <v>616</v>
      </c>
      <c r="P927" s="24">
        <v>945</v>
      </c>
      <c r="Q927" s="11">
        <f t="shared" ca="1" si="193"/>
        <v>100</v>
      </c>
      <c r="R927" s="24">
        <v>200</v>
      </c>
      <c r="S927" s="24">
        <v>10</v>
      </c>
      <c r="T927" s="24">
        <f t="shared" ca="1" si="194"/>
        <v>1255</v>
      </c>
    </row>
    <row r="928" spans="1:20" x14ac:dyDescent="0.45">
      <c r="A928" s="11">
        <v>915</v>
      </c>
      <c r="B928" s="11">
        <f t="shared" ca="1" si="182"/>
        <v>7.6403603336251291E-2</v>
      </c>
      <c r="C928" s="11">
        <f t="shared" ca="1" si="183"/>
        <v>1000</v>
      </c>
      <c r="D928" s="11">
        <f t="shared" ca="1" si="184"/>
        <v>0.9692573557554971</v>
      </c>
      <c r="E928" s="11">
        <f t="shared" ca="1" si="185"/>
        <v>1900</v>
      </c>
      <c r="F928" s="11">
        <f t="shared" ca="1" si="186"/>
        <v>0.43498255783667727</v>
      </c>
      <c r="G928" s="11">
        <f t="shared" ca="1" si="187"/>
        <v>1200</v>
      </c>
      <c r="H928" s="11">
        <f t="shared" ca="1" si="188"/>
        <v>1000</v>
      </c>
      <c r="I928" s="11">
        <f t="shared" ca="1" si="189"/>
        <v>7.4449159458058745E-3</v>
      </c>
      <c r="J928" s="11">
        <f t="shared" ca="1" si="190"/>
        <v>5</v>
      </c>
      <c r="K928" s="24">
        <v>96</v>
      </c>
      <c r="L928" s="24">
        <f t="shared" ca="1" si="191"/>
        <v>50</v>
      </c>
      <c r="M928" s="24">
        <v>400</v>
      </c>
      <c r="N928" s="24">
        <v>20</v>
      </c>
      <c r="O928" s="24">
        <f t="shared" ca="1" si="192"/>
        <v>566</v>
      </c>
      <c r="P928" s="24">
        <v>946</v>
      </c>
      <c r="Q928" s="11">
        <f t="shared" ca="1" si="193"/>
        <v>50</v>
      </c>
      <c r="R928" s="24">
        <v>200</v>
      </c>
      <c r="S928" s="24">
        <v>10</v>
      </c>
      <c r="T928" s="24">
        <f t="shared" ca="1" si="194"/>
        <v>1206</v>
      </c>
    </row>
    <row r="929" spans="1:20" x14ac:dyDescent="0.45">
      <c r="A929" s="11">
        <v>916</v>
      </c>
      <c r="B929" s="11">
        <f t="shared" ca="1" si="182"/>
        <v>0.82126905056688082</v>
      </c>
      <c r="C929" s="11">
        <f t="shared" ca="1" si="183"/>
        <v>1600</v>
      </c>
      <c r="D929" s="11">
        <f t="shared" ca="1" si="184"/>
        <v>0.77586756460343198</v>
      </c>
      <c r="E929" s="11">
        <f t="shared" ca="1" si="185"/>
        <v>1500</v>
      </c>
      <c r="F929" s="11">
        <f t="shared" ca="1" si="186"/>
        <v>0.65503460825746118</v>
      </c>
      <c r="G929" s="11">
        <f t="shared" ca="1" si="187"/>
        <v>1400</v>
      </c>
      <c r="H929" s="11">
        <f t="shared" ca="1" si="188"/>
        <v>1400</v>
      </c>
      <c r="I929" s="11">
        <f t="shared" ca="1" si="189"/>
        <v>0.48895531456248376</v>
      </c>
      <c r="J929" s="11">
        <f t="shared" ca="1" si="190"/>
        <v>5</v>
      </c>
      <c r="K929" s="24">
        <v>96</v>
      </c>
      <c r="L929" s="24">
        <f t="shared" ca="1" si="191"/>
        <v>50</v>
      </c>
      <c r="M929" s="24">
        <v>400</v>
      </c>
      <c r="N929" s="24">
        <v>20</v>
      </c>
      <c r="O929" s="24">
        <f t="shared" ca="1" si="192"/>
        <v>566</v>
      </c>
      <c r="P929" s="24">
        <v>947</v>
      </c>
      <c r="Q929" s="11">
        <f t="shared" ca="1" si="193"/>
        <v>50</v>
      </c>
      <c r="R929" s="24">
        <v>200</v>
      </c>
      <c r="S929" s="24">
        <v>10</v>
      </c>
      <c r="T929" s="24">
        <f t="shared" ca="1" si="194"/>
        <v>1207</v>
      </c>
    </row>
    <row r="930" spans="1:20" x14ac:dyDescent="0.45">
      <c r="A930" s="11">
        <v>917</v>
      </c>
      <c r="B930" s="11">
        <f t="shared" ca="1" si="182"/>
        <v>7.4999959314442366E-3</v>
      </c>
      <c r="C930" s="11">
        <f t="shared" ca="1" si="183"/>
        <v>1000</v>
      </c>
      <c r="D930" s="11">
        <f t="shared" ca="1" si="184"/>
        <v>2.5515513429689829E-2</v>
      </c>
      <c r="E930" s="11">
        <f t="shared" ca="1" si="185"/>
        <v>1000</v>
      </c>
      <c r="F930" s="11">
        <f t="shared" ca="1" si="186"/>
        <v>0.52529186682337203</v>
      </c>
      <c r="G930" s="11">
        <f t="shared" ca="1" si="187"/>
        <v>1300</v>
      </c>
      <c r="H930" s="11">
        <f t="shared" ca="1" si="188"/>
        <v>1000</v>
      </c>
      <c r="I930" s="11">
        <f t="shared" ca="1" si="189"/>
        <v>0.44653036603444496</v>
      </c>
      <c r="J930" s="11">
        <f t="shared" ca="1" si="190"/>
        <v>5</v>
      </c>
      <c r="K930" s="24">
        <v>96</v>
      </c>
      <c r="L930" s="24">
        <f t="shared" ca="1" si="191"/>
        <v>50</v>
      </c>
      <c r="M930" s="24">
        <v>400</v>
      </c>
      <c r="N930" s="24">
        <v>20</v>
      </c>
      <c r="O930" s="24">
        <f t="shared" ca="1" si="192"/>
        <v>566</v>
      </c>
      <c r="P930" s="24">
        <v>948</v>
      </c>
      <c r="Q930" s="11">
        <f t="shared" ca="1" si="193"/>
        <v>50</v>
      </c>
      <c r="R930" s="24">
        <v>200</v>
      </c>
      <c r="S930" s="24">
        <v>10</v>
      </c>
      <c r="T930" s="24">
        <f t="shared" ca="1" si="194"/>
        <v>1208</v>
      </c>
    </row>
    <row r="931" spans="1:20" x14ac:dyDescent="0.45">
      <c r="A931" s="11">
        <v>918</v>
      </c>
      <c r="B931" s="11">
        <f t="shared" ca="1" si="182"/>
        <v>0.5711844296448878</v>
      </c>
      <c r="C931" s="11">
        <f t="shared" ca="1" si="183"/>
        <v>1300</v>
      </c>
      <c r="D931" s="11">
        <f t="shared" ca="1" si="184"/>
        <v>0.18863563867888589</v>
      </c>
      <c r="E931" s="11">
        <f t="shared" ca="1" si="185"/>
        <v>1100</v>
      </c>
      <c r="F931" s="11">
        <f t="shared" ca="1" si="186"/>
        <v>0.26778040009466086</v>
      </c>
      <c r="G931" s="11">
        <f t="shared" ca="1" si="187"/>
        <v>1200</v>
      </c>
      <c r="H931" s="11">
        <f t="shared" ca="1" si="188"/>
        <v>1100</v>
      </c>
      <c r="I931" s="11">
        <f t="shared" ca="1" si="189"/>
        <v>0.20888787963550992</v>
      </c>
      <c r="J931" s="11">
        <f t="shared" ca="1" si="190"/>
        <v>5</v>
      </c>
      <c r="K931" s="24">
        <v>96</v>
      </c>
      <c r="L931" s="24">
        <f t="shared" ca="1" si="191"/>
        <v>50</v>
      </c>
      <c r="M931" s="24">
        <v>400</v>
      </c>
      <c r="N931" s="24">
        <v>20</v>
      </c>
      <c r="O931" s="24">
        <f t="shared" ca="1" si="192"/>
        <v>566</v>
      </c>
      <c r="P931" s="24">
        <v>949</v>
      </c>
      <c r="Q931" s="11">
        <f t="shared" ca="1" si="193"/>
        <v>50</v>
      </c>
      <c r="R931" s="24">
        <v>200</v>
      </c>
      <c r="S931" s="24">
        <v>10</v>
      </c>
      <c r="T931" s="24">
        <f t="shared" ca="1" si="194"/>
        <v>1209</v>
      </c>
    </row>
    <row r="932" spans="1:20" x14ac:dyDescent="0.45">
      <c r="A932" s="11">
        <v>919</v>
      </c>
      <c r="B932" s="11">
        <f t="shared" ca="1" si="182"/>
        <v>7.8088438010318173E-2</v>
      </c>
      <c r="C932" s="11">
        <f t="shared" ca="1" si="183"/>
        <v>1000</v>
      </c>
      <c r="D932" s="11">
        <f t="shared" ca="1" si="184"/>
        <v>0.25625718081777416</v>
      </c>
      <c r="E932" s="11">
        <f t="shared" ca="1" si="185"/>
        <v>1200</v>
      </c>
      <c r="F932" s="11">
        <f t="shared" ca="1" si="186"/>
        <v>0.10238233717364897</v>
      </c>
      <c r="G932" s="11">
        <f t="shared" ca="1" si="187"/>
        <v>1100</v>
      </c>
      <c r="H932" s="11">
        <f t="shared" ca="1" si="188"/>
        <v>1000</v>
      </c>
      <c r="I932" s="11">
        <f t="shared" ca="1" si="189"/>
        <v>0.2024733791056661</v>
      </c>
      <c r="J932" s="11">
        <f t="shared" ca="1" si="190"/>
        <v>5</v>
      </c>
      <c r="K932" s="24">
        <v>96</v>
      </c>
      <c r="L932" s="24">
        <f t="shared" ca="1" si="191"/>
        <v>50</v>
      </c>
      <c r="M932" s="24">
        <v>400</v>
      </c>
      <c r="N932" s="24">
        <v>20</v>
      </c>
      <c r="O932" s="24">
        <f t="shared" ca="1" si="192"/>
        <v>566</v>
      </c>
      <c r="P932" s="24">
        <v>950</v>
      </c>
      <c r="Q932" s="11">
        <f t="shared" ca="1" si="193"/>
        <v>50</v>
      </c>
      <c r="R932" s="24">
        <v>200</v>
      </c>
      <c r="S932" s="24">
        <v>10</v>
      </c>
      <c r="T932" s="24">
        <f t="shared" ca="1" si="194"/>
        <v>1210</v>
      </c>
    </row>
    <row r="933" spans="1:20" x14ac:dyDescent="0.45">
      <c r="A933" s="11">
        <v>920</v>
      </c>
      <c r="B933" s="11">
        <f t="shared" ca="1" si="182"/>
        <v>0.62276483230013258</v>
      </c>
      <c r="C933" s="11">
        <f t="shared" ca="1" si="183"/>
        <v>1400</v>
      </c>
      <c r="D933" s="11">
        <f t="shared" ca="1" si="184"/>
        <v>0.22223615161956189</v>
      </c>
      <c r="E933" s="11">
        <f t="shared" ca="1" si="185"/>
        <v>1100</v>
      </c>
      <c r="F933" s="11">
        <f t="shared" ca="1" si="186"/>
        <v>0.33666035438903619</v>
      </c>
      <c r="G933" s="11">
        <f t="shared" ca="1" si="187"/>
        <v>1200</v>
      </c>
      <c r="H933" s="11">
        <f t="shared" ca="1" si="188"/>
        <v>1100</v>
      </c>
      <c r="I933" s="11">
        <f t="shared" ca="1" si="189"/>
        <v>0.24462478012763533</v>
      </c>
      <c r="J933" s="11">
        <f t="shared" ca="1" si="190"/>
        <v>5</v>
      </c>
      <c r="K933" s="24">
        <v>96</v>
      </c>
      <c r="L933" s="24">
        <f t="shared" ca="1" si="191"/>
        <v>50</v>
      </c>
      <c r="M933" s="24">
        <v>400</v>
      </c>
      <c r="N933" s="24">
        <v>20</v>
      </c>
      <c r="O933" s="24">
        <f t="shared" ca="1" si="192"/>
        <v>566</v>
      </c>
      <c r="P933" s="24">
        <v>951</v>
      </c>
      <c r="Q933" s="11">
        <f t="shared" ca="1" si="193"/>
        <v>50</v>
      </c>
      <c r="R933" s="24">
        <v>200</v>
      </c>
      <c r="S933" s="24">
        <v>10</v>
      </c>
      <c r="T933" s="24">
        <f t="shared" ca="1" si="194"/>
        <v>1211</v>
      </c>
    </row>
    <row r="934" spans="1:20" x14ac:dyDescent="0.45">
      <c r="A934" s="11">
        <v>921</v>
      </c>
      <c r="B934" s="11">
        <f t="shared" ca="1" si="182"/>
        <v>0.82811719596720867</v>
      </c>
      <c r="C934" s="11">
        <f t="shared" ca="1" si="183"/>
        <v>1600</v>
      </c>
      <c r="D934" s="11">
        <f t="shared" ca="1" si="184"/>
        <v>0.74824631651875595</v>
      </c>
      <c r="E934" s="11">
        <f t="shared" ca="1" si="185"/>
        <v>1500</v>
      </c>
      <c r="F934" s="11">
        <f t="shared" ca="1" si="186"/>
        <v>0.899600544640897</v>
      </c>
      <c r="G934" s="11">
        <f t="shared" ca="1" si="187"/>
        <v>1700</v>
      </c>
      <c r="H934" s="11">
        <f t="shared" ca="1" si="188"/>
        <v>1500</v>
      </c>
      <c r="I934" s="11">
        <f t="shared" ca="1" si="189"/>
        <v>0.21818279040960586</v>
      </c>
      <c r="J934" s="11">
        <f t="shared" ca="1" si="190"/>
        <v>5</v>
      </c>
      <c r="K934" s="24">
        <v>96</v>
      </c>
      <c r="L934" s="24">
        <f t="shared" ca="1" si="191"/>
        <v>50</v>
      </c>
      <c r="M934" s="24">
        <v>400</v>
      </c>
      <c r="N934" s="24">
        <v>20</v>
      </c>
      <c r="O934" s="24">
        <f t="shared" ca="1" si="192"/>
        <v>566</v>
      </c>
      <c r="P934" s="24">
        <v>952</v>
      </c>
      <c r="Q934" s="11">
        <f t="shared" ca="1" si="193"/>
        <v>50</v>
      </c>
      <c r="R934" s="24">
        <v>200</v>
      </c>
      <c r="S934" s="24">
        <v>10</v>
      </c>
      <c r="T934" s="24">
        <f t="shared" ca="1" si="194"/>
        <v>1212</v>
      </c>
    </row>
    <row r="935" spans="1:20" x14ac:dyDescent="0.45">
      <c r="A935" s="11">
        <v>922</v>
      </c>
      <c r="B935" s="11">
        <f t="shared" ca="1" si="182"/>
        <v>0.10663410930047656</v>
      </c>
      <c r="C935" s="11">
        <f t="shared" ca="1" si="183"/>
        <v>1100</v>
      </c>
      <c r="D935" s="11">
        <f t="shared" ca="1" si="184"/>
        <v>0.15767066014326081</v>
      </c>
      <c r="E935" s="11">
        <f t="shared" ca="1" si="185"/>
        <v>1100</v>
      </c>
      <c r="F935" s="11">
        <f t="shared" ca="1" si="186"/>
        <v>0.85162415553496285</v>
      </c>
      <c r="G935" s="11">
        <f t="shared" ca="1" si="187"/>
        <v>1700</v>
      </c>
      <c r="H935" s="11">
        <f t="shared" ca="1" si="188"/>
        <v>1100</v>
      </c>
      <c r="I935" s="11">
        <f t="shared" ca="1" si="189"/>
        <v>5.3768752733345027E-2</v>
      </c>
      <c r="J935" s="11">
        <f t="shared" ca="1" si="190"/>
        <v>5</v>
      </c>
      <c r="K935" s="24">
        <v>96</v>
      </c>
      <c r="L935" s="24">
        <f t="shared" ca="1" si="191"/>
        <v>50</v>
      </c>
      <c r="M935" s="24">
        <v>400</v>
      </c>
      <c r="N935" s="24">
        <v>20</v>
      </c>
      <c r="O935" s="24">
        <f t="shared" ca="1" si="192"/>
        <v>566</v>
      </c>
      <c r="P935" s="24">
        <v>953</v>
      </c>
      <c r="Q935" s="11">
        <f t="shared" ca="1" si="193"/>
        <v>50</v>
      </c>
      <c r="R935" s="24">
        <v>200</v>
      </c>
      <c r="S935" s="24">
        <v>10</v>
      </c>
      <c r="T935" s="24">
        <f t="shared" ca="1" si="194"/>
        <v>1213</v>
      </c>
    </row>
    <row r="936" spans="1:20" x14ac:dyDescent="0.45">
      <c r="A936" s="11">
        <v>923</v>
      </c>
      <c r="B936" s="11">
        <f t="shared" ca="1" si="182"/>
        <v>0.62409837643318788</v>
      </c>
      <c r="C936" s="11">
        <f t="shared" ca="1" si="183"/>
        <v>1400</v>
      </c>
      <c r="D936" s="11">
        <f t="shared" ca="1" si="184"/>
        <v>0.40932675661457352</v>
      </c>
      <c r="E936" s="11">
        <f t="shared" ca="1" si="185"/>
        <v>1200</v>
      </c>
      <c r="F936" s="11">
        <f t="shared" ca="1" si="186"/>
        <v>0.53150811591431135</v>
      </c>
      <c r="G936" s="11">
        <f t="shared" ca="1" si="187"/>
        <v>1300</v>
      </c>
      <c r="H936" s="11">
        <f t="shared" ca="1" si="188"/>
        <v>1200</v>
      </c>
      <c r="I936" s="11">
        <f t="shared" ca="1" si="189"/>
        <v>0.30501081392325591</v>
      </c>
      <c r="J936" s="11">
        <f t="shared" ca="1" si="190"/>
        <v>5</v>
      </c>
      <c r="K936" s="24">
        <v>96</v>
      </c>
      <c r="L936" s="24">
        <f t="shared" ca="1" si="191"/>
        <v>50</v>
      </c>
      <c r="M936" s="24">
        <v>400</v>
      </c>
      <c r="N936" s="24">
        <v>20</v>
      </c>
      <c r="O936" s="24">
        <f t="shared" ca="1" si="192"/>
        <v>566</v>
      </c>
      <c r="P936" s="24">
        <v>954</v>
      </c>
      <c r="Q936" s="11">
        <f t="shared" ca="1" si="193"/>
        <v>50</v>
      </c>
      <c r="R936" s="24">
        <v>200</v>
      </c>
      <c r="S936" s="24">
        <v>10</v>
      </c>
      <c r="T936" s="24">
        <f t="shared" ca="1" si="194"/>
        <v>1214</v>
      </c>
    </row>
    <row r="937" spans="1:20" x14ac:dyDescent="0.45">
      <c r="A937" s="11">
        <v>924</v>
      </c>
      <c r="B937" s="11">
        <f t="shared" ca="1" si="182"/>
        <v>0.2102289786138003</v>
      </c>
      <c r="C937" s="11">
        <f t="shared" ca="1" si="183"/>
        <v>1100</v>
      </c>
      <c r="D937" s="11">
        <f t="shared" ca="1" si="184"/>
        <v>0.80443587450556941</v>
      </c>
      <c r="E937" s="11">
        <f t="shared" ca="1" si="185"/>
        <v>1500</v>
      </c>
      <c r="F937" s="11">
        <f t="shared" ca="1" si="186"/>
        <v>0.23710003483232633</v>
      </c>
      <c r="G937" s="11">
        <f t="shared" ca="1" si="187"/>
        <v>1200</v>
      </c>
      <c r="H937" s="11">
        <f t="shared" ca="1" si="188"/>
        <v>1100</v>
      </c>
      <c r="I937" s="11">
        <f t="shared" ca="1" si="189"/>
        <v>0.4760004250839166</v>
      </c>
      <c r="J937" s="11">
        <f t="shared" ca="1" si="190"/>
        <v>5</v>
      </c>
      <c r="K937" s="24">
        <v>96</v>
      </c>
      <c r="L937" s="24">
        <f t="shared" ca="1" si="191"/>
        <v>50</v>
      </c>
      <c r="M937" s="24">
        <v>400</v>
      </c>
      <c r="N937" s="24">
        <v>20</v>
      </c>
      <c r="O937" s="24">
        <f t="shared" ca="1" si="192"/>
        <v>566</v>
      </c>
      <c r="P937" s="24">
        <v>955</v>
      </c>
      <c r="Q937" s="11">
        <f t="shared" ca="1" si="193"/>
        <v>50</v>
      </c>
      <c r="R937" s="24">
        <v>200</v>
      </c>
      <c r="S937" s="24">
        <v>10</v>
      </c>
      <c r="T937" s="24">
        <f t="shared" ca="1" si="194"/>
        <v>1215</v>
      </c>
    </row>
    <row r="938" spans="1:20" x14ac:dyDescent="0.45">
      <c r="A938" s="11">
        <v>925</v>
      </c>
      <c r="B938" s="11">
        <f t="shared" ca="1" si="182"/>
        <v>0.66915046210977847</v>
      </c>
      <c r="C938" s="11">
        <f t="shared" ca="1" si="183"/>
        <v>1400</v>
      </c>
      <c r="D938" s="11">
        <f t="shared" ca="1" si="184"/>
        <v>0.34390605886582171</v>
      </c>
      <c r="E938" s="11">
        <f t="shared" ca="1" si="185"/>
        <v>1200</v>
      </c>
      <c r="F938" s="11">
        <f t="shared" ca="1" si="186"/>
        <v>0.65661205055430605</v>
      </c>
      <c r="G938" s="11">
        <f t="shared" ca="1" si="187"/>
        <v>1400</v>
      </c>
      <c r="H938" s="11">
        <f t="shared" ca="1" si="188"/>
        <v>1200</v>
      </c>
      <c r="I938" s="11">
        <f t="shared" ca="1" si="189"/>
        <v>0.6298093857588225</v>
      </c>
      <c r="J938" s="11">
        <f t="shared" ca="1" si="190"/>
        <v>10</v>
      </c>
      <c r="K938" s="24">
        <v>96</v>
      </c>
      <c r="L938" s="24">
        <f t="shared" ca="1" si="191"/>
        <v>100</v>
      </c>
      <c r="M938" s="24">
        <v>400</v>
      </c>
      <c r="N938" s="24">
        <v>20</v>
      </c>
      <c r="O938" s="24">
        <f t="shared" ca="1" si="192"/>
        <v>616</v>
      </c>
      <c r="P938" s="24">
        <v>956</v>
      </c>
      <c r="Q938" s="11">
        <f t="shared" ca="1" si="193"/>
        <v>100</v>
      </c>
      <c r="R938" s="24">
        <v>200</v>
      </c>
      <c r="S938" s="24">
        <v>10</v>
      </c>
      <c r="T938" s="24">
        <f t="shared" ca="1" si="194"/>
        <v>1266</v>
      </c>
    </row>
    <row r="939" spans="1:20" x14ac:dyDescent="0.45">
      <c r="A939" s="11">
        <v>926</v>
      </c>
      <c r="B939" s="11">
        <f t="shared" ca="1" si="182"/>
        <v>0.55504195842382209</v>
      </c>
      <c r="C939" s="11">
        <f t="shared" ca="1" si="183"/>
        <v>1300</v>
      </c>
      <c r="D939" s="11">
        <f t="shared" ca="1" si="184"/>
        <v>0.85768347842081483</v>
      </c>
      <c r="E939" s="11">
        <f t="shared" ca="1" si="185"/>
        <v>1700</v>
      </c>
      <c r="F939" s="11">
        <f t="shared" ca="1" si="186"/>
        <v>0.74491893282024602</v>
      </c>
      <c r="G939" s="11">
        <f t="shared" ca="1" si="187"/>
        <v>1500</v>
      </c>
      <c r="H939" s="11">
        <f t="shared" ca="1" si="188"/>
        <v>1300</v>
      </c>
      <c r="I939" s="11">
        <f t="shared" ca="1" si="189"/>
        <v>0.7788359988045418</v>
      </c>
      <c r="J939" s="11">
        <f t="shared" ca="1" si="190"/>
        <v>10</v>
      </c>
      <c r="K939" s="24">
        <v>96</v>
      </c>
      <c r="L939" s="24">
        <f t="shared" ca="1" si="191"/>
        <v>100</v>
      </c>
      <c r="M939" s="24">
        <v>400</v>
      </c>
      <c r="N939" s="24">
        <v>20</v>
      </c>
      <c r="O939" s="24">
        <f t="shared" ca="1" si="192"/>
        <v>616</v>
      </c>
      <c r="P939" s="24">
        <v>957</v>
      </c>
      <c r="Q939" s="11">
        <f t="shared" ca="1" si="193"/>
        <v>100</v>
      </c>
      <c r="R939" s="24">
        <v>200</v>
      </c>
      <c r="S939" s="24">
        <v>10</v>
      </c>
      <c r="T939" s="24">
        <f t="shared" ca="1" si="194"/>
        <v>1267</v>
      </c>
    </row>
    <row r="940" spans="1:20" x14ac:dyDescent="0.45">
      <c r="A940" s="11">
        <v>927</v>
      </c>
      <c r="B940" s="11">
        <f t="shared" ca="1" si="182"/>
        <v>0.54545295966649054</v>
      </c>
      <c r="C940" s="11">
        <f t="shared" ca="1" si="183"/>
        <v>1300</v>
      </c>
      <c r="D940" s="11">
        <f t="shared" ca="1" si="184"/>
        <v>0.54731459093363266</v>
      </c>
      <c r="E940" s="11">
        <f t="shared" ca="1" si="185"/>
        <v>1300</v>
      </c>
      <c r="F940" s="11">
        <f t="shared" ca="1" si="186"/>
        <v>0.48919424203977946</v>
      </c>
      <c r="G940" s="11">
        <f t="shared" ca="1" si="187"/>
        <v>1300</v>
      </c>
      <c r="H940" s="11">
        <f t="shared" ca="1" si="188"/>
        <v>1300</v>
      </c>
      <c r="I940" s="11">
        <f t="shared" ca="1" si="189"/>
        <v>0.57752278958712944</v>
      </c>
      <c r="J940" s="11">
        <f t="shared" ca="1" si="190"/>
        <v>5</v>
      </c>
      <c r="K940" s="24">
        <v>96</v>
      </c>
      <c r="L940" s="24">
        <f t="shared" ca="1" si="191"/>
        <v>50</v>
      </c>
      <c r="M940" s="24">
        <v>400</v>
      </c>
      <c r="N940" s="24">
        <v>20</v>
      </c>
      <c r="O940" s="24">
        <f t="shared" ca="1" si="192"/>
        <v>566</v>
      </c>
      <c r="P940" s="24">
        <v>958</v>
      </c>
      <c r="Q940" s="11">
        <f t="shared" ca="1" si="193"/>
        <v>50</v>
      </c>
      <c r="R940" s="24">
        <v>200</v>
      </c>
      <c r="S940" s="24">
        <v>10</v>
      </c>
      <c r="T940" s="24">
        <f t="shared" ca="1" si="194"/>
        <v>1218</v>
      </c>
    </row>
    <row r="941" spans="1:20" x14ac:dyDescent="0.45">
      <c r="A941" s="11">
        <v>928</v>
      </c>
      <c r="B941" s="11">
        <f t="shared" ca="1" si="182"/>
        <v>0.76759928218746509</v>
      </c>
      <c r="C941" s="11">
        <f t="shared" ca="1" si="183"/>
        <v>1500</v>
      </c>
      <c r="D941" s="11">
        <f t="shared" ca="1" si="184"/>
        <v>0.42964360572671756</v>
      </c>
      <c r="E941" s="11">
        <f t="shared" ca="1" si="185"/>
        <v>1200</v>
      </c>
      <c r="F941" s="11">
        <f t="shared" ca="1" si="186"/>
        <v>0.72808187215149733</v>
      </c>
      <c r="G941" s="11">
        <f t="shared" ca="1" si="187"/>
        <v>1500</v>
      </c>
      <c r="H941" s="11">
        <f t="shared" ca="1" si="188"/>
        <v>1200</v>
      </c>
      <c r="I941" s="11">
        <f t="shared" ca="1" si="189"/>
        <v>0.4280131223822834</v>
      </c>
      <c r="J941" s="11">
        <f t="shared" ca="1" si="190"/>
        <v>5</v>
      </c>
      <c r="K941" s="24">
        <v>96</v>
      </c>
      <c r="L941" s="24">
        <f t="shared" ca="1" si="191"/>
        <v>50</v>
      </c>
      <c r="M941" s="24">
        <v>400</v>
      </c>
      <c r="N941" s="24">
        <v>20</v>
      </c>
      <c r="O941" s="24">
        <f t="shared" ca="1" si="192"/>
        <v>566</v>
      </c>
      <c r="P941" s="24">
        <v>959</v>
      </c>
      <c r="Q941" s="11">
        <f t="shared" ca="1" si="193"/>
        <v>50</v>
      </c>
      <c r="R941" s="24">
        <v>200</v>
      </c>
      <c r="S941" s="24">
        <v>10</v>
      </c>
      <c r="T941" s="24">
        <f t="shared" ca="1" si="194"/>
        <v>1219</v>
      </c>
    </row>
    <row r="942" spans="1:20" x14ac:dyDescent="0.45">
      <c r="A942" s="11">
        <v>929</v>
      </c>
      <c r="B942" s="11">
        <f t="shared" ca="1" si="182"/>
        <v>0.56444327341424183</v>
      </c>
      <c r="C942" s="11">
        <f t="shared" ca="1" si="183"/>
        <v>1300</v>
      </c>
      <c r="D942" s="11">
        <f t="shared" ca="1" si="184"/>
        <v>0.14930375349446889</v>
      </c>
      <c r="E942" s="11">
        <f t="shared" ca="1" si="185"/>
        <v>1100</v>
      </c>
      <c r="F942" s="11">
        <f t="shared" ca="1" si="186"/>
        <v>0.38648639123034501</v>
      </c>
      <c r="G942" s="11">
        <f t="shared" ca="1" si="187"/>
        <v>1200</v>
      </c>
      <c r="H942" s="11">
        <f t="shared" ca="1" si="188"/>
        <v>1100</v>
      </c>
      <c r="I942" s="11">
        <f t="shared" ca="1" si="189"/>
        <v>0.58645056205389301</v>
      </c>
      <c r="J942" s="11">
        <f t="shared" ca="1" si="190"/>
        <v>5</v>
      </c>
      <c r="K942" s="24">
        <v>96</v>
      </c>
      <c r="L942" s="24">
        <f t="shared" ca="1" si="191"/>
        <v>50</v>
      </c>
      <c r="M942" s="24">
        <v>400</v>
      </c>
      <c r="N942" s="24">
        <v>20</v>
      </c>
      <c r="O942" s="24">
        <f t="shared" ca="1" si="192"/>
        <v>566</v>
      </c>
      <c r="P942" s="24">
        <v>960</v>
      </c>
      <c r="Q942" s="11">
        <f t="shared" ca="1" si="193"/>
        <v>50</v>
      </c>
      <c r="R942" s="24">
        <v>200</v>
      </c>
      <c r="S942" s="24">
        <v>10</v>
      </c>
      <c r="T942" s="24">
        <f t="shared" ca="1" si="194"/>
        <v>1220</v>
      </c>
    </row>
    <row r="943" spans="1:20" x14ac:dyDescent="0.45">
      <c r="A943" s="11">
        <v>930</v>
      </c>
      <c r="B943" s="11">
        <f t="shared" ca="1" si="182"/>
        <v>0.46598500339443605</v>
      </c>
      <c r="C943" s="11">
        <f t="shared" ca="1" si="183"/>
        <v>1200</v>
      </c>
      <c r="D943" s="11">
        <f t="shared" ca="1" si="184"/>
        <v>0.11000962250737478</v>
      </c>
      <c r="E943" s="11">
        <f t="shared" ca="1" si="185"/>
        <v>1100</v>
      </c>
      <c r="F943" s="11">
        <f t="shared" ca="1" si="186"/>
        <v>0.77745912924526861</v>
      </c>
      <c r="G943" s="11">
        <f t="shared" ca="1" si="187"/>
        <v>1500</v>
      </c>
      <c r="H943" s="11">
        <f t="shared" ca="1" si="188"/>
        <v>1100</v>
      </c>
      <c r="I943" s="11">
        <f t="shared" ca="1" si="189"/>
        <v>0.93764794577233002</v>
      </c>
      <c r="J943" s="11">
        <f t="shared" ca="1" si="190"/>
        <v>15</v>
      </c>
      <c r="K943" s="24">
        <v>96</v>
      </c>
      <c r="L943" s="24">
        <f t="shared" ca="1" si="191"/>
        <v>150</v>
      </c>
      <c r="M943" s="24">
        <v>400</v>
      </c>
      <c r="N943" s="24">
        <v>20</v>
      </c>
      <c r="O943" s="24">
        <f t="shared" ca="1" si="192"/>
        <v>666</v>
      </c>
      <c r="P943" s="24">
        <v>961</v>
      </c>
      <c r="Q943" s="11">
        <f t="shared" ca="1" si="193"/>
        <v>150</v>
      </c>
      <c r="R943" s="24">
        <v>200</v>
      </c>
      <c r="S943" s="24">
        <v>10</v>
      </c>
      <c r="T943" s="24">
        <f t="shared" ca="1" si="194"/>
        <v>1321</v>
      </c>
    </row>
    <row r="944" spans="1:20" x14ac:dyDescent="0.45">
      <c r="A944" s="11">
        <v>931</v>
      </c>
      <c r="B944" s="11">
        <f t="shared" ca="1" si="182"/>
        <v>0.19714199618806583</v>
      </c>
      <c r="C944" s="11">
        <f t="shared" ca="1" si="183"/>
        <v>1100</v>
      </c>
      <c r="D944" s="11">
        <f t="shared" ca="1" si="184"/>
        <v>0.97378868093994431</v>
      </c>
      <c r="E944" s="11">
        <f t="shared" ca="1" si="185"/>
        <v>1900</v>
      </c>
      <c r="F944" s="11">
        <f t="shared" ca="1" si="186"/>
        <v>0.93284441375551341</v>
      </c>
      <c r="G944" s="11">
        <f t="shared" ca="1" si="187"/>
        <v>1800</v>
      </c>
      <c r="H944" s="11">
        <f t="shared" ca="1" si="188"/>
        <v>1100</v>
      </c>
      <c r="I944" s="11">
        <f t="shared" ca="1" si="189"/>
        <v>0.386286971467249</v>
      </c>
      <c r="J944" s="11">
        <f t="shared" ca="1" si="190"/>
        <v>5</v>
      </c>
      <c r="K944" s="24">
        <v>96</v>
      </c>
      <c r="L944" s="24">
        <f t="shared" ca="1" si="191"/>
        <v>50</v>
      </c>
      <c r="M944" s="24">
        <v>400</v>
      </c>
      <c r="N944" s="24">
        <v>20</v>
      </c>
      <c r="O944" s="24">
        <f t="shared" ca="1" si="192"/>
        <v>566</v>
      </c>
      <c r="P944" s="24">
        <v>962</v>
      </c>
      <c r="Q944" s="11">
        <f t="shared" ca="1" si="193"/>
        <v>50</v>
      </c>
      <c r="R944" s="24">
        <v>200</v>
      </c>
      <c r="S944" s="24">
        <v>10</v>
      </c>
      <c r="T944" s="24">
        <f t="shared" ca="1" si="194"/>
        <v>1222</v>
      </c>
    </row>
    <row r="945" spans="1:20" x14ac:dyDescent="0.45">
      <c r="A945" s="11">
        <v>932</v>
      </c>
      <c r="B945" s="11">
        <f t="shared" ca="1" si="182"/>
        <v>0.10615598325371467</v>
      </c>
      <c r="C945" s="11">
        <f t="shared" ca="1" si="183"/>
        <v>1100</v>
      </c>
      <c r="D945" s="11">
        <f t="shared" ca="1" si="184"/>
        <v>0.75854901537710417</v>
      </c>
      <c r="E945" s="11">
        <f t="shared" ca="1" si="185"/>
        <v>1500</v>
      </c>
      <c r="F945" s="11">
        <f t="shared" ca="1" si="186"/>
        <v>0.50860739852785208</v>
      </c>
      <c r="G945" s="11">
        <f t="shared" ca="1" si="187"/>
        <v>1300</v>
      </c>
      <c r="H945" s="11">
        <f t="shared" ca="1" si="188"/>
        <v>1100</v>
      </c>
      <c r="I945" s="11">
        <f t="shared" ca="1" si="189"/>
        <v>0.51667383689254465</v>
      </c>
      <c r="J945" s="11">
        <f t="shared" ca="1" si="190"/>
        <v>5</v>
      </c>
      <c r="K945" s="24">
        <v>96</v>
      </c>
      <c r="L945" s="24">
        <f t="shared" ca="1" si="191"/>
        <v>50</v>
      </c>
      <c r="M945" s="24">
        <v>400</v>
      </c>
      <c r="N945" s="24">
        <v>20</v>
      </c>
      <c r="O945" s="24">
        <f t="shared" ca="1" si="192"/>
        <v>566</v>
      </c>
      <c r="P945" s="24">
        <v>963</v>
      </c>
      <c r="Q945" s="11">
        <f t="shared" ca="1" si="193"/>
        <v>50</v>
      </c>
      <c r="R945" s="24">
        <v>200</v>
      </c>
      <c r="S945" s="24">
        <v>10</v>
      </c>
      <c r="T945" s="24">
        <f t="shared" ca="1" si="194"/>
        <v>1223</v>
      </c>
    </row>
    <row r="946" spans="1:20" x14ac:dyDescent="0.45">
      <c r="A946" s="11">
        <v>933</v>
      </c>
      <c r="B946" s="11">
        <f t="shared" ca="1" si="182"/>
        <v>0.98354611696172967</v>
      </c>
      <c r="C946" s="11">
        <f t="shared" ca="1" si="183"/>
        <v>1900</v>
      </c>
      <c r="D946" s="11">
        <f t="shared" ca="1" si="184"/>
        <v>0.66466980347780524</v>
      </c>
      <c r="E946" s="11">
        <f t="shared" ca="1" si="185"/>
        <v>1400</v>
      </c>
      <c r="F946" s="11">
        <f t="shared" ca="1" si="186"/>
        <v>0.73695210823044166</v>
      </c>
      <c r="G946" s="11">
        <f t="shared" ca="1" si="187"/>
        <v>1500</v>
      </c>
      <c r="H946" s="11">
        <f t="shared" ca="1" si="188"/>
        <v>1400</v>
      </c>
      <c r="I946" s="11">
        <f t="shared" ca="1" si="189"/>
        <v>0.18905193886353056</v>
      </c>
      <c r="J946" s="11">
        <f t="shared" ca="1" si="190"/>
        <v>5</v>
      </c>
      <c r="K946" s="24">
        <v>96</v>
      </c>
      <c r="L946" s="24">
        <f t="shared" ca="1" si="191"/>
        <v>50</v>
      </c>
      <c r="M946" s="24">
        <v>400</v>
      </c>
      <c r="N946" s="24">
        <v>20</v>
      </c>
      <c r="O946" s="24">
        <f t="shared" ca="1" si="192"/>
        <v>566</v>
      </c>
      <c r="P946" s="24">
        <v>964</v>
      </c>
      <c r="Q946" s="11">
        <f t="shared" ca="1" si="193"/>
        <v>50</v>
      </c>
      <c r="R946" s="24">
        <v>200</v>
      </c>
      <c r="S946" s="24">
        <v>10</v>
      </c>
      <c r="T946" s="24">
        <f t="shared" ca="1" si="194"/>
        <v>1224</v>
      </c>
    </row>
    <row r="947" spans="1:20" x14ac:dyDescent="0.45">
      <c r="A947" s="11">
        <v>934</v>
      </c>
      <c r="B947" s="11">
        <f t="shared" ca="1" si="182"/>
        <v>0.85550493560170238</v>
      </c>
      <c r="C947" s="11">
        <f t="shared" ca="1" si="183"/>
        <v>1700</v>
      </c>
      <c r="D947" s="11">
        <f t="shared" ca="1" si="184"/>
        <v>0.11006128710997543</v>
      </c>
      <c r="E947" s="11">
        <f t="shared" ca="1" si="185"/>
        <v>1100</v>
      </c>
      <c r="F947" s="11">
        <f t="shared" ca="1" si="186"/>
        <v>0.3929017300305484</v>
      </c>
      <c r="G947" s="11">
        <f t="shared" ca="1" si="187"/>
        <v>1200</v>
      </c>
      <c r="H947" s="11">
        <f t="shared" ca="1" si="188"/>
        <v>1100</v>
      </c>
      <c r="I947" s="11">
        <f t="shared" ca="1" si="189"/>
        <v>2.04732398846037E-2</v>
      </c>
      <c r="J947" s="11">
        <f t="shared" ca="1" si="190"/>
        <v>5</v>
      </c>
      <c r="K947" s="24">
        <v>96</v>
      </c>
      <c r="L947" s="24">
        <f t="shared" ca="1" si="191"/>
        <v>50</v>
      </c>
      <c r="M947" s="24">
        <v>400</v>
      </c>
      <c r="N947" s="24">
        <v>20</v>
      </c>
      <c r="O947" s="24">
        <f t="shared" ca="1" si="192"/>
        <v>566</v>
      </c>
      <c r="P947" s="24">
        <v>965</v>
      </c>
      <c r="Q947" s="11">
        <f t="shared" ca="1" si="193"/>
        <v>50</v>
      </c>
      <c r="R947" s="24">
        <v>200</v>
      </c>
      <c r="S947" s="24">
        <v>10</v>
      </c>
      <c r="T947" s="24">
        <f t="shared" ca="1" si="194"/>
        <v>1225</v>
      </c>
    </row>
    <row r="948" spans="1:20" x14ac:dyDescent="0.45">
      <c r="A948" s="11">
        <v>935</v>
      </c>
      <c r="B948" s="11">
        <f t="shared" ca="1" si="182"/>
        <v>0.4448249717992272</v>
      </c>
      <c r="C948" s="11">
        <f t="shared" ca="1" si="183"/>
        <v>1200</v>
      </c>
      <c r="D948" s="11">
        <f t="shared" ca="1" si="184"/>
        <v>0.89689668197682104</v>
      </c>
      <c r="E948" s="11">
        <f t="shared" ca="1" si="185"/>
        <v>1700</v>
      </c>
      <c r="F948" s="11">
        <f t="shared" ca="1" si="186"/>
        <v>0.20206158229508653</v>
      </c>
      <c r="G948" s="11">
        <f t="shared" ca="1" si="187"/>
        <v>1100</v>
      </c>
      <c r="H948" s="11">
        <f t="shared" ca="1" si="188"/>
        <v>1100</v>
      </c>
      <c r="I948" s="11">
        <f t="shared" ca="1" si="189"/>
        <v>0.84790430572475972</v>
      </c>
      <c r="J948" s="11">
        <f t="shared" ca="1" si="190"/>
        <v>10</v>
      </c>
      <c r="K948" s="24">
        <v>96</v>
      </c>
      <c r="L948" s="24">
        <f t="shared" ca="1" si="191"/>
        <v>100</v>
      </c>
      <c r="M948" s="24">
        <v>400</v>
      </c>
      <c r="N948" s="24">
        <v>20</v>
      </c>
      <c r="O948" s="24">
        <f t="shared" ca="1" si="192"/>
        <v>616</v>
      </c>
      <c r="P948" s="24">
        <v>966</v>
      </c>
      <c r="Q948" s="11">
        <f t="shared" ca="1" si="193"/>
        <v>100</v>
      </c>
      <c r="R948" s="24">
        <v>200</v>
      </c>
      <c r="S948" s="24">
        <v>10</v>
      </c>
      <c r="T948" s="24">
        <f t="shared" ca="1" si="194"/>
        <v>1276</v>
      </c>
    </row>
    <row r="949" spans="1:20" x14ac:dyDescent="0.45">
      <c r="A949" s="11">
        <v>936</v>
      </c>
      <c r="B949" s="11">
        <f t="shared" ca="1" si="182"/>
        <v>0.61251242257241467</v>
      </c>
      <c r="C949" s="11">
        <f t="shared" ca="1" si="183"/>
        <v>1400</v>
      </c>
      <c r="D949" s="11">
        <f t="shared" ca="1" si="184"/>
        <v>0.23588731700582577</v>
      </c>
      <c r="E949" s="11">
        <f t="shared" ca="1" si="185"/>
        <v>1200</v>
      </c>
      <c r="F949" s="11">
        <f t="shared" ca="1" si="186"/>
        <v>0.25713166503822349</v>
      </c>
      <c r="G949" s="11">
        <f t="shared" ca="1" si="187"/>
        <v>1200</v>
      </c>
      <c r="H949" s="11">
        <f t="shared" ca="1" si="188"/>
        <v>1200</v>
      </c>
      <c r="I949" s="11">
        <f t="shared" ca="1" si="189"/>
        <v>0.15653518799450084</v>
      </c>
      <c r="J949" s="11">
        <f t="shared" ca="1" si="190"/>
        <v>5</v>
      </c>
      <c r="K949" s="24">
        <v>96</v>
      </c>
      <c r="L949" s="24">
        <f t="shared" ca="1" si="191"/>
        <v>50</v>
      </c>
      <c r="M949" s="24">
        <v>400</v>
      </c>
      <c r="N949" s="24">
        <v>20</v>
      </c>
      <c r="O949" s="24">
        <f t="shared" ca="1" si="192"/>
        <v>566</v>
      </c>
      <c r="P949" s="24">
        <v>967</v>
      </c>
      <c r="Q949" s="11">
        <f t="shared" ca="1" si="193"/>
        <v>50</v>
      </c>
      <c r="R949" s="24">
        <v>200</v>
      </c>
      <c r="S949" s="24">
        <v>10</v>
      </c>
      <c r="T949" s="24">
        <f t="shared" ca="1" si="194"/>
        <v>1227</v>
      </c>
    </row>
    <row r="950" spans="1:20" x14ac:dyDescent="0.45">
      <c r="A950" s="11">
        <v>937</v>
      </c>
      <c r="B950" s="11">
        <f t="shared" ca="1" si="182"/>
        <v>0.1012753403317983</v>
      </c>
      <c r="C950" s="11">
        <f t="shared" ca="1" si="183"/>
        <v>1100</v>
      </c>
      <c r="D950" s="11">
        <f t="shared" ca="1" si="184"/>
        <v>0.45457562227515291</v>
      </c>
      <c r="E950" s="11">
        <f t="shared" ca="1" si="185"/>
        <v>1200</v>
      </c>
      <c r="F950" s="11">
        <f t="shared" ca="1" si="186"/>
        <v>0.46932650423787969</v>
      </c>
      <c r="G950" s="11">
        <f t="shared" ca="1" si="187"/>
        <v>1200</v>
      </c>
      <c r="H950" s="11">
        <f t="shared" ca="1" si="188"/>
        <v>1100</v>
      </c>
      <c r="I950" s="11">
        <f t="shared" ca="1" si="189"/>
        <v>5.5126871647689368E-2</v>
      </c>
      <c r="J950" s="11">
        <f t="shared" ca="1" si="190"/>
        <v>5</v>
      </c>
      <c r="K950" s="24">
        <v>96</v>
      </c>
      <c r="L950" s="24">
        <f t="shared" ca="1" si="191"/>
        <v>50</v>
      </c>
      <c r="M950" s="24">
        <v>400</v>
      </c>
      <c r="N950" s="24">
        <v>20</v>
      </c>
      <c r="O950" s="24">
        <f t="shared" ca="1" si="192"/>
        <v>566</v>
      </c>
      <c r="P950" s="24">
        <v>968</v>
      </c>
      <c r="Q950" s="11">
        <f t="shared" ca="1" si="193"/>
        <v>50</v>
      </c>
      <c r="R950" s="24">
        <v>200</v>
      </c>
      <c r="S950" s="24">
        <v>10</v>
      </c>
      <c r="T950" s="24">
        <f t="shared" ca="1" si="194"/>
        <v>1228</v>
      </c>
    </row>
    <row r="951" spans="1:20" x14ac:dyDescent="0.45">
      <c r="A951" s="11">
        <v>938</v>
      </c>
      <c r="B951" s="11">
        <f t="shared" ca="1" si="182"/>
        <v>0.38290327263156343</v>
      </c>
      <c r="C951" s="11">
        <f t="shared" ca="1" si="183"/>
        <v>1200</v>
      </c>
      <c r="D951" s="11">
        <f t="shared" ca="1" si="184"/>
        <v>0.69284441411374575</v>
      </c>
      <c r="E951" s="11">
        <f t="shared" ca="1" si="185"/>
        <v>1400</v>
      </c>
      <c r="F951" s="11">
        <f t="shared" ca="1" si="186"/>
        <v>0.48143225126565248</v>
      </c>
      <c r="G951" s="11">
        <f t="shared" ca="1" si="187"/>
        <v>1300</v>
      </c>
      <c r="H951" s="11">
        <f t="shared" ca="1" si="188"/>
        <v>1200</v>
      </c>
      <c r="I951" s="11">
        <f t="shared" ca="1" si="189"/>
        <v>0.1018327924341681</v>
      </c>
      <c r="J951" s="11">
        <f t="shared" ca="1" si="190"/>
        <v>5</v>
      </c>
      <c r="K951" s="24">
        <v>96</v>
      </c>
      <c r="L951" s="24">
        <f t="shared" ca="1" si="191"/>
        <v>50</v>
      </c>
      <c r="M951" s="24">
        <v>400</v>
      </c>
      <c r="N951" s="24">
        <v>20</v>
      </c>
      <c r="O951" s="24">
        <f t="shared" ca="1" si="192"/>
        <v>566</v>
      </c>
      <c r="P951" s="24">
        <v>969</v>
      </c>
      <c r="Q951" s="11">
        <f t="shared" ca="1" si="193"/>
        <v>50</v>
      </c>
      <c r="R951" s="24">
        <v>200</v>
      </c>
      <c r="S951" s="24">
        <v>10</v>
      </c>
      <c r="T951" s="24">
        <f t="shared" ca="1" si="194"/>
        <v>1229</v>
      </c>
    </row>
    <row r="952" spans="1:20" x14ac:dyDescent="0.45">
      <c r="A952" s="11">
        <v>939</v>
      </c>
      <c r="B952" s="11">
        <f t="shared" ca="1" si="182"/>
        <v>0.21933128519591671</v>
      </c>
      <c r="C952" s="11">
        <f t="shared" ca="1" si="183"/>
        <v>1100</v>
      </c>
      <c r="D952" s="11">
        <f t="shared" ca="1" si="184"/>
        <v>0.56656221379538074</v>
      </c>
      <c r="E952" s="11">
        <f t="shared" ca="1" si="185"/>
        <v>1300</v>
      </c>
      <c r="F952" s="11">
        <f t="shared" ca="1" si="186"/>
        <v>0.34850197037350328</v>
      </c>
      <c r="G952" s="11">
        <f t="shared" ca="1" si="187"/>
        <v>1200</v>
      </c>
      <c r="H952" s="11">
        <f t="shared" ca="1" si="188"/>
        <v>1100</v>
      </c>
      <c r="I952" s="11">
        <f t="shared" ca="1" si="189"/>
        <v>0.67495991377792264</v>
      </c>
      <c r="J952" s="11">
        <f t="shared" ca="1" si="190"/>
        <v>10</v>
      </c>
      <c r="K952" s="24">
        <v>96</v>
      </c>
      <c r="L952" s="24">
        <f t="shared" ca="1" si="191"/>
        <v>100</v>
      </c>
      <c r="M952" s="24">
        <v>400</v>
      </c>
      <c r="N952" s="24">
        <v>20</v>
      </c>
      <c r="O952" s="24">
        <f t="shared" ca="1" si="192"/>
        <v>616</v>
      </c>
      <c r="P952" s="24">
        <v>970</v>
      </c>
      <c r="Q952" s="11">
        <f t="shared" ca="1" si="193"/>
        <v>100</v>
      </c>
      <c r="R952" s="24">
        <v>200</v>
      </c>
      <c r="S952" s="24">
        <v>10</v>
      </c>
      <c r="T952" s="24">
        <f t="shared" ca="1" si="194"/>
        <v>1280</v>
      </c>
    </row>
    <row r="953" spans="1:20" x14ac:dyDescent="0.45">
      <c r="A953" s="11">
        <v>940</v>
      </c>
      <c r="B953" s="11">
        <f t="shared" ca="1" si="182"/>
        <v>0.47304470685513222</v>
      </c>
      <c r="C953" s="11">
        <f t="shared" ca="1" si="183"/>
        <v>1200</v>
      </c>
      <c r="D953" s="11">
        <f t="shared" ca="1" si="184"/>
        <v>0.21243737406833474</v>
      </c>
      <c r="E953" s="11">
        <f t="shared" ca="1" si="185"/>
        <v>1100</v>
      </c>
      <c r="F953" s="11">
        <f t="shared" ca="1" si="186"/>
        <v>0.33815607565584116</v>
      </c>
      <c r="G953" s="11">
        <f t="shared" ca="1" si="187"/>
        <v>1200</v>
      </c>
      <c r="H953" s="11">
        <f t="shared" ca="1" si="188"/>
        <v>1100</v>
      </c>
      <c r="I953" s="11">
        <f t="shared" ca="1" si="189"/>
        <v>4.9855483835486325E-2</v>
      </c>
      <c r="J953" s="11">
        <f t="shared" ca="1" si="190"/>
        <v>5</v>
      </c>
      <c r="K953" s="24">
        <v>96</v>
      </c>
      <c r="L953" s="24">
        <f t="shared" ca="1" si="191"/>
        <v>50</v>
      </c>
      <c r="M953" s="24">
        <v>400</v>
      </c>
      <c r="N953" s="24">
        <v>20</v>
      </c>
      <c r="O953" s="24">
        <f t="shared" ca="1" si="192"/>
        <v>566</v>
      </c>
      <c r="P953" s="24">
        <v>971</v>
      </c>
      <c r="Q953" s="11">
        <f t="shared" ca="1" si="193"/>
        <v>50</v>
      </c>
      <c r="R953" s="24">
        <v>200</v>
      </c>
      <c r="S953" s="24">
        <v>10</v>
      </c>
      <c r="T953" s="24">
        <f t="shared" ca="1" si="194"/>
        <v>1231</v>
      </c>
    </row>
    <row r="954" spans="1:20" x14ac:dyDescent="0.45">
      <c r="A954" s="11">
        <v>941</v>
      </c>
      <c r="B954" s="11">
        <f t="shared" ca="1" si="182"/>
        <v>0.65670982467999239</v>
      </c>
      <c r="C954" s="11">
        <f t="shared" ca="1" si="183"/>
        <v>1400</v>
      </c>
      <c r="D954" s="11">
        <f t="shared" ca="1" si="184"/>
        <v>0.19285801052425366</v>
      </c>
      <c r="E954" s="11">
        <f t="shared" ca="1" si="185"/>
        <v>1100</v>
      </c>
      <c r="F954" s="11">
        <f t="shared" ca="1" si="186"/>
        <v>0.13078283184358608</v>
      </c>
      <c r="G954" s="11">
        <f t="shared" ca="1" si="187"/>
        <v>1100</v>
      </c>
      <c r="H954" s="11">
        <f t="shared" ca="1" si="188"/>
        <v>1100</v>
      </c>
      <c r="I954" s="11">
        <f t="shared" ca="1" si="189"/>
        <v>0.24542310592207484</v>
      </c>
      <c r="J954" s="11">
        <f t="shared" ca="1" si="190"/>
        <v>5</v>
      </c>
      <c r="K954" s="24">
        <v>96</v>
      </c>
      <c r="L954" s="24">
        <f t="shared" ca="1" si="191"/>
        <v>50</v>
      </c>
      <c r="M954" s="24">
        <v>400</v>
      </c>
      <c r="N954" s="24">
        <v>20</v>
      </c>
      <c r="O954" s="24">
        <f t="shared" ca="1" si="192"/>
        <v>566</v>
      </c>
      <c r="P954" s="24">
        <v>972</v>
      </c>
      <c r="Q954" s="11">
        <f t="shared" ca="1" si="193"/>
        <v>50</v>
      </c>
      <c r="R954" s="24">
        <v>200</v>
      </c>
      <c r="S954" s="24">
        <v>10</v>
      </c>
      <c r="T954" s="24">
        <f t="shared" ca="1" si="194"/>
        <v>1232</v>
      </c>
    </row>
    <row r="955" spans="1:20" x14ac:dyDescent="0.45">
      <c r="A955" s="11">
        <v>942</v>
      </c>
      <c r="B955" s="11">
        <f t="shared" ca="1" si="182"/>
        <v>0.54866368234207852</v>
      </c>
      <c r="C955" s="11">
        <f t="shared" ca="1" si="183"/>
        <v>1300</v>
      </c>
      <c r="D955" s="11">
        <f t="shared" ca="1" si="184"/>
        <v>0.84047482295710285</v>
      </c>
      <c r="E955" s="11">
        <f t="shared" ca="1" si="185"/>
        <v>1700</v>
      </c>
      <c r="F955" s="11">
        <f t="shared" ca="1" si="186"/>
        <v>0.42911016726378481</v>
      </c>
      <c r="G955" s="11">
        <f t="shared" ca="1" si="187"/>
        <v>1200</v>
      </c>
      <c r="H955" s="11">
        <f t="shared" ca="1" si="188"/>
        <v>1200</v>
      </c>
      <c r="I955" s="11">
        <f t="shared" ca="1" si="189"/>
        <v>0.89115347167174785</v>
      </c>
      <c r="J955" s="11">
        <f t="shared" ca="1" si="190"/>
        <v>10</v>
      </c>
      <c r="K955" s="24">
        <v>96</v>
      </c>
      <c r="L955" s="24">
        <f t="shared" ca="1" si="191"/>
        <v>100</v>
      </c>
      <c r="M955" s="24">
        <v>400</v>
      </c>
      <c r="N955" s="24">
        <v>20</v>
      </c>
      <c r="O955" s="24">
        <f t="shared" ca="1" si="192"/>
        <v>616</v>
      </c>
      <c r="P955" s="24">
        <v>973</v>
      </c>
      <c r="Q955" s="11">
        <f t="shared" ca="1" si="193"/>
        <v>100</v>
      </c>
      <c r="R955" s="24">
        <v>200</v>
      </c>
      <c r="S955" s="24">
        <v>10</v>
      </c>
      <c r="T955" s="24">
        <f t="shared" ca="1" si="194"/>
        <v>1283</v>
      </c>
    </row>
    <row r="956" spans="1:20" x14ac:dyDescent="0.45">
      <c r="A956" s="11">
        <v>943</v>
      </c>
      <c r="B956" s="11">
        <f t="shared" ca="1" si="182"/>
        <v>0.58998128903317137</v>
      </c>
      <c r="C956" s="11">
        <f t="shared" ca="1" si="183"/>
        <v>1300</v>
      </c>
      <c r="D956" s="11">
        <f t="shared" ca="1" si="184"/>
        <v>0.14046415995174677</v>
      </c>
      <c r="E956" s="11">
        <f t="shared" ca="1" si="185"/>
        <v>1100</v>
      </c>
      <c r="F956" s="11">
        <f t="shared" ca="1" si="186"/>
        <v>0.52640760481255455</v>
      </c>
      <c r="G956" s="11">
        <f t="shared" ca="1" si="187"/>
        <v>1300</v>
      </c>
      <c r="H956" s="11">
        <f t="shared" ca="1" si="188"/>
        <v>1100</v>
      </c>
      <c r="I956" s="11">
        <f t="shared" ca="1" si="189"/>
        <v>0.10799794907291138</v>
      </c>
      <c r="J956" s="11">
        <f t="shared" ca="1" si="190"/>
        <v>5</v>
      </c>
      <c r="K956" s="24">
        <v>96</v>
      </c>
      <c r="L956" s="24">
        <f t="shared" ca="1" si="191"/>
        <v>50</v>
      </c>
      <c r="M956" s="24">
        <v>400</v>
      </c>
      <c r="N956" s="24">
        <v>20</v>
      </c>
      <c r="O956" s="24">
        <f t="shared" ca="1" si="192"/>
        <v>566</v>
      </c>
      <c r="P956" s="24">
        <v>974</v>
      </c>
      <c r="Q956" s="11">
        <f t="shared" ca="1" si="193"/>
        <v>50</v>
      </c>
      <c r="R956" s="24">
        <v>200</v>
      </c>
      <c r="S956" s="24">
        <v>10</v>
      </c>
      <c r="T956" s="24">
        <f t="shared" ca="1" si="194"/>
        <v>1234</v>
      </c>
    </row>
    <row r="957" spans="1:20" x14ac:dyDescent="0.45">
      <c r="A957" s="11">
        <v>944</v>
      </c>
      <c r="B957" s="11">
        <f t="shared" ca="1" si="182"/>
        <v>0.23521036456348021</v>
      </c>
      <c r="C957" s="11">
        <f t="shared" ca="1" si="183"/>
        <v>1200</v>
      </c>
      <c r="D957" s="11">
        <f t="shared" ca="1" si="184"/>
        <v>0.92977637219821785</v>
      </c>
      <c r="E957" s="11">
        <f t="shared" ca="1" si="185"/>
        <v>1800</v>
      </c>
      <c r="F957" s="11">
        <f t="shared" ca="1" si="186"/>
        <v>0.22436858661664816</v>
      </c>
      <c r="G957" s="11">
        <f t="shared" ca="1" si="187"/>
        <v>1100</v>
      </c>
      <c r="H957" s="11">
        <f t="shared" ca="1" si="188"/>
        <v>1100</v>
      </c>
      <c r="I957" s="11">
        <f t="shared" ca="1" si="189"/>
        <v>0.50316553731792579</v>
      </c>
      <c r="J957" s="11">
        <f t="shared" ca="1" si="190"/>
        <v>5</v>
      </c>
      <c r="K957" s="24">
        <v>96</v>
      </c>
      <c r="L957" s="24">
        <f t="shared" ca="1" si="191"/>
        <v>50</v>
      </c>
      <c r="M957" s="24">
        <v>400</v>
      </c>
      <c r="N957" s="24">
        <v>20</v>
      </c>
      <c r="O957" s="24">
        <f t="shared" ca="1" si="192"/>
        <v>566</v>
      </c>
      <c r="P957" s="24">
        <v>975</v>
      </c>
      <c r="Q957" s="11">
        <f t="shared" ca="1" si="193"/>
        <v>50</v>
      </c>
      <c r="R957" s="24">
        <v>200</v>
      </c>
      <c r="S957" s="24">
        <v>10</v>
      </c>
      <c r="T957" s="24">
        <f t="shared" ca="1" si="194"/>
        <v>1235</v>
      </c>
    </row>
    <row r="958" spans="1:20" x14ac:dyDescent="0.45">
      <c r="A958" s="11">
        <v>945</v>
      </c>
      <c r="B958" s="11">
        <f t="shared" ca="1" si="182"/>
        <v>0.7763828740714025</v>
      </c>
      <c r="C958" s="11">
        <f t="shared" ca="1" si="183"/>
        <v>1500</v>
      </c>
      <c r="D958" s="11">
        <f t="shared" ca="1" si="184"/>
        <v>0.44944852798990176</v>
      </c>
      <c r="E958" s="11">
        <f t="shared" ca="1" si="185"/>
        <v>1200</v>
      </c>
      <c r="F958" s="11">
        <f t="shared" ca="1" si="186"/>
        <v>0.9036896260644468</v>
      </c>
      <c r="G958" s="11">
        <f t="shared" ca="1" si="187"/>
        <v>1800</v>
      </c>
      <c r="H958" s="11">
        <f t="shared" ca="1" si="188"/>
        <v>1200</v>
      </c>
      <c r="I958" s="11">
        <f t="shared" ca="1" si="189"/>
        <v>0.59526650936976155</v>
      </c>
      <c r="J958" s="11">
        <f t="shared" ca="1" si="190"/>
        <v>5</v>
      </c>
      <c r="K958" s="24">
        <v>96</v>
      </c>
      <c r="L958" s="24">
        <f t="shared" ca="1" si="191"/>
        <v>50</v>
      </c>
      <c r="M958" s="24">
        <v>400</v>
      </c>
      <c r="N958" s="24">
        <v>20</v>
      </c>
      <c r="O958" s="24">
        <f t="shared" ca="1" si="192"/>
        <v>566</v>
      </c>
      <c r="P958" s="24">
        <v>976</v>
      </c>
      <c r="Q958" s="11">
        <f t="shared" ca="1" si="193"/>
        <v>50</v>
      </c>
      <c r="R958" s="24">
        <v>200</v>
      </c>
      <c r="S958" s="24">
        <v>10</v>
      </c>
      <c r="T958" s="24">
        <f t="shared" ca="1" si="194"/>
        <v>1236</v>
      </c>
    </row>
    <row r="959" spans="1:20" x14ac:dyDescent="0.45">
      <c r="A959" s="11">
        <v>946</v>
      </c>
      <c r="B959" s="11">
        <f t="shared" ca="1" si="182"/>
        <v>0.38779628745484862</v>
      </c>
      <c r="C959" s="11">
        <f t="shared" ca="1" si="183"/>
        <v>1200</v>
      </c>
      <c r="D959" s="11">
        <f t="shared" ca="1" si="184"/>
        <v>0.31524807029954693</v>
      </c>
      <c r="E959" s="11">
        <f t="shared" ca="1" si="185"/>
        <v>1200</v>
      </c>
      <c r="F959" s="11">
        <f t="shared" ca="1" si="186"/>
        <v>0.74281939159477128</v>
      </c>
      <c r="G959" s="11">
        <f t="shared" ca="1" si="187"/>
        <v>1500</v>
      </c>
      <c r="H959" s="11">
        <f t="shared" ca="1" si="188"/>
        <v>1200</v>
      </c>
      <c r="I959" s="11">
        <f t="shared" ca="1" si="189"/>
        <v>0.90836462247555094</v>
      </c>
      <c r="J959" s="11">
        <f t="shared" ca="1" si="190"/>
        <v>15</v>
      </c>
      <c r="K959" s="24">
        <v>96</v>
      </c>
      <c r="L959" s="24">
        <f t="shared" ca="1" si="191"/>
        <v>150</v>
      </c>
      <c r="M959" s="24">
        <v>400</v>
      </c>
      <c r="N959" s="24">
        <v>20</v>
      </c>
      <c r="O959" s="24">
        <f t="shared" ca="1" si="192"/>
        <v>666</v>
      </c>
      <c r="P959" s="24">
        <v>977</v>
      </c>
      <c r="Q959" s="11">
        <f t="shared" ca="1" si="193"/>
        <v>150</v>
      </c>
      <c r="R959" s="24">
        <v>200</v>
      </c>
      <c r="S959" s="24">
        <v>10</v>
      </c>
      <c r="T959" s="24">
        <f t="shared" ca="1" si="194"/>
        <v>1337</v>
      </c>
    </row>
    <row r="960" spans="1:20" x14ac:dyDescent="0.45">
      <c r="A960" s="11">
        <v>947</v>
      </c>
      <c r="B960" s="11">
        <f t="shared" ca="1" si="182"/>
        <v>0.81407845546992419</v>
      </c>
      <c r="C960" s="11">
        <f t="shared" ca="1" si="183"/>
        <v>1500</v>
      </c>
      <c r="D960" s="11">
        <f t="shared" ca="1" si="184"/>
        <v>0.8583428775183225</v>
      </c>
      <c r="E960" s="11">
        <f t="shared" ca="1" si="185"/>
        <v>1700</v>
      </c>
      <c r="F960" s="11">
        <f t="shared" ca="1" si="186"/>
        <v>0.334568710524631</v>
      </c>
      <c r="G960" s="11">
        <f t="shared" ca="1" si="187"/>
        <v>1200</v>
      </c>
      <c r="H960" s="11">
        <f t="shared" ca="1" si="188"/>
        <v>1200</v>
      </c>
      <c r="I960" s="11">
        <f t="shared" ca="1" si="189"/>
        <v>0.13790588553945693</v>
      </c>
      <c r="J960" s="11">
        <f t="shared" ca="1" si="190"/>
        <v>5</v>
      </c>
      <c r="K960" s="24">
        <v>96</v>
      </c>
      <c r="L960" s="24">
        <f t="shared" ca="1" si="191"/>
        <v>50</v>
      </c>
      <c r="M960" s="24">
        <v>400</v>
      </c>
      <c r="N960" s="24">
        <v>20</v>
      </c>
      <c r="O960" s="24">
        <f t="shared" ca="1" si="192"/>
        <v>566</v>
      </c>
      <c r="P960" s="24">
        <v>978</v>
      </c>
      <c r="Q960" s="11">
        <f t="shared" ca="1" si="193"/>
        <v>50</v>
      </c>
      <c r="R960" s="24">
        <v>200</v>
      </c>
      <c r="S960" s="24">
        <v>10</v>
      </c>
      <c r="T960" s="24">
        <f t="shared" ca="1" si="194"/>
        <v>1238</v>
      </c>
    </row>
    <row r="961" spans="1:20" x14ac:dyDescent="0.45">
      <c r="A961" s="11">
        <v>948</v>
      </c>
      <c r="B961" s="11">
        <f t="shared" ca="1" si="182"/>
        <v>0.25103643636820461</v>
      </c>
      <c r="C961" s="11">
        <f t="shared" ca="1" si="183"/>
        <v>1200</v>
      </c>
      <c r="D961" s="11">
        <f t="shared" ca="1" si="184"/>
        <v>0.12423265754869661</v>
      </c>
      <c r="E961" s="11">
        <f t="shared" ca="1" si="185"/>
        <v>1100</v>
      </c>
      <c r="F961" s="11">
        <f t="shared" ca="1" si="186"/>
        <v>0.63377801626797614</v>
      </c>
      <c r="G961" s="11">
        <f t="shared" ca="1" si="187"/>
        <v>1400</v>
      </c>
      <c r="H961" s="11">
        <f t="shared" ca="1" si="188"/>
        <v>1100</v>
      </c>
      <c r="I961" s="11">
        <f t="shared" ca="1" si="189"/>
        <v>0.92507529392681664</v>
      </c>
      <c r="J961" s="11">
        <f t="shared" ca="1" si="190"/>
        <v>15</v>
      </c>
      <c r="K961" s="24">
        <v>96</v>
      </c>
      <c r="L961" s="24">
        <f t="shared" ca="1" si="191"/>
        <v>150</v>
      </c>
      <c r="M961" s="24">
        <v>400</v>
      </c>
      <c r="N961" s="24">
        <v>20</v>
      </c>
      <c r="O961" s="24">
        <f t="shared" ca="1" si="192"/>
        <v>666</v>
      </c>
      <c r="P961" s="24">
        <v>979</v>
      </c>
      <c r="Q961" s="11">
        <f t="shared" ca="1" si="193"/>
        <v>150</v>
      </c>
      <c r="R961" s="24">
        <v>200</v>
      </c>
      <c r="S961" s="24">
        <v>10</v>
      </c>
      <c r="T961" s="24">
        <f t="shared" ca="1" si="194"/>
        <v>1339</v>
      </c>
    </row>
    <row r="962" spans="1:20" x14ac:dyDescent="0.45">
      <c r="A962" s="11">
        <v>949</v>
      </c>
      <c r="B962" s="11">
        <f t="shared" ca="1" si="182"/>
        <v>0.50934218748815974</v>
      </c>
      <c r="C962" s="11">
        <f t="shared" ca="1" si="183"/>
        <v>1300</v>
      </c>
      <c r="D962" s="11">
        <f t="shared" ca="1" si="184"/>
        <v>0.9958691902832989</v>
      </c>
      <c r="E962" s="11">
        <f t="shared" ca="1" si="185"/>
        <v>1900</v>
      </c>
      <c r="F962" s="11">
        <f t="shared" ca="1" si="186"/>
        <v>0.46239143459143672</v>
      </c>
      <c r="G962" s="11">
        <f t="shared" ca="1" si="187"/>
        <v>1200</v>
      </c>
      <c r="H962" s="11">
        <f t="shared" ca="1" si="188"/>
        <v>1200</v>
      </c>
      <c r="I962" s="11">
        <f t="shared" ca="1" si="189"/>
        <v>0.80735919904141884</v>
      </c>
      <c r="J962" s="11">
        <f t="shared" ca="1" si="190"/>
        <v>10</v>
      </c>
      <c r="K962" s="24">
        <v>96</v>
      </c>
      <c r="L962" s="24">
        <f t="shared" ca="1" si="191"/>
        <v>100</v>
      </c>
      <c r="M962" s="24">
        <v>400</v>
      </c>
      <c r="N962" s="24">
        <v>20</v>
      </c>
      <c r="O962" s="24">
        <f t="shared" ca="1" si="192"/>
        <v>616</v>
      </c>
      <c r="P962" s="24">
        <v>980</v>
      </c>
      <c r="Q962" s="11">
        <f t="shared" ca="1" si="193"/>
        <v>100</v>
      </c>
      <c r="R962" s="24">
        <v>200</v>
      </c>
      <c r="S962" s="24">
        <v>10</v>
      </c>
      <c r="T962" s="24">
        <f t="shared" ca="1" si="194"/>
        <v>1290</v>
      </c>
    </row>
    <row r="963" spans="1:20" x14ac:dyDescent="0.45">
      <c r="A963" s="11">
        <v>950</v>
      </c>
      <c r="B963" s="11">
        <f t="shared" ca="1" si="182"/>
        <v>0.93865372198512131</v>
      </c>
      <c r="C963" s="11">
        <f t="shared" ca="1" si="183"/>
        <v>1800</v>
      </c>
      <c r="D963" s="11">
        <f t="shared" ca="1" si="184"/>
        <v>0.27684986716368798</v>
      </c>
      <c r="E963" s="11">
        <f t="shared" ca="1" si="185"/>
        <v>1200</v>
      </c>
      <c r="F963" s="11">
        <f t="shared" ca="1" si="186"/>
        <v>7.9395860802045082E-4</v>
      </c>
      <c r="G963" s="11">
        <f t="shared" ca="1" si="187"/>
        <v>1000</v>
      </c>
      <c r="H963" s="11">
        <f t="shared" ca="1" si="188"/>
        <v>1000</v>
      </c>
      <c r="I963" s="11">
        <f t="shared" ca="1" si="189"/>
        <v>0.82489525700597743</v>
      </c>
      <c r="J963" s="11">
        <f t="shared" ca="1" si="190"/>
        <v>10</v>
      </c>
      <c r="K963" s="24">
        <v>96</v>
      </c>
      <c r="L963" s="24">
        <f t="shared" ca="1" si="191"/>
        <v>100</v>
      </c>
      <c r="M963" s="24">
        <v>400</v>
      </c>
      <c r="N963" s="24">
        <v>20</v>
      </c>
      <c r="O963" s="24">
        <f t="shared" ca="1" si="192"/>
        <v>616</v>
      </c>
      <c r="P963" s="24">
        <v>981</v>
      </c>
      <c r="Q963" s="11">
        <f t="shared" ca="1" si="193"/>
        <v>100</v>
      </c>
      <c r="R963" s="24">
        <v>200</v>
      </c>
      <c r="S963" s="24">
        <v>10</v>
      </c>
      <c r="T963" s="24">
        <f t="shared" ca="1" si="194"/>
        <v>1291</v>
      </c>
    </row>
    <row r="964" spans="1:20" x14ac:dyDescent="0.45">
      <c r="A964" s="11">
        <v>951</v>
      </c>
      <c r="B964" s="11">
        <f t="shared" ca="1" si="182"/>
        <v>0.30477160255466573</v>
      </c>
      <c r="C964" s="11">
        <f t="shared" ca="1" si="183"/>
        <v>1200</v>
      </c>
      <c r="D964" s="11">
        <f t="shared" ca="1" si="184"/>
        <v>0.44994662994378076</v>
      </c>
      <c r="E964" s="11">
        <f t="shared" ca="1" si="185"/>
        <v>1200</v>
      </c>
      <c r="F964" s="11">
        <f t="shared" ca="1" si="186"/>
        <v>0.97592585218747008</v>
      </c>
      <c r="G964" s="11">
        <f t="shared" ca="1" si="187"/>
        <v>1900</v>
      </c>
      <c r="H964" s="11">
        <f t="shared" ca="1" si="188"/>
        <v>1200</v>
      </c>
      <c r="I964" s="11">
        <f t="shared" ca="1" si="189"/>
        <v>0.5349791076898921</v>
      </c>
      <c r="J964" s="11">
        <f t="shared" ca="1" si="190"/>
        <v>5</v>
      </c>
      <c r="K964" s="24">
        <v>96</v>
      </c>
      <c r="L964" s="24">
        <f t="shared" ca="1" si="191"/>
        <v>50</v>
      </c>
      <c r="M964" s="24">
        <v>400</v>
      </c>
      <c r="N964" s="24">
        <v>20</v>
      </c>
      <c r="O964" s="24">
        <f t="shared" ca="1" si="192"/>
        <v>566</v>
      </c>
      <c r="P964" s="24">
        <v>982</v>
      </c>
      <c r="Q964" s="11">
        <f t="shared" ca="1" si="193"/>
        <v>50</v>
      </c>
      <c r="R964" s="24">
        <v>200</v>
      </c>
      <c r="S964" s="24">
        <v>10</v>
      </c>
      <c r="T964" s="24">
        <f t="shared" ca="1" si="194"/>
        <v>1242</v>
      </c>
    </row>
    <row r="965" spans="1:20" x14ac:dyDescent="0.45">
      <c r="A965" s="11">
        <v>952</v>
      </c>
      <c r="B965" s="11">
        <f t="shared" ca="1" si="182"/>
        <v>0.46910996709965413</v>
      </c>
      <c r="C965" s="11">
        <f t="shared" ca="1" si="183"/>
        <v>1200</v>
      </c>
      <c r="D965" s="11">
        <f t="shared" ca="1" si="184"/>
        <v>0.75835118571668869</v>
      </c>
      <c r="E965" s="11">
        <f t="shared" ca="1" si="185"/>
        <v>1500</v>
      </c>
      <c r="F965" s="11">
        <f t="shared" ca="1" si="186"/>
        <v>0.15530988264433399</v>
      </c>
      <c r="G965" s="11">
        <f t="shared" ca="1" si="187"/>
        <v>1100</v>
      </c>
      <c r="H965" s="11">
        <f t="shared" ca="1" si="188"/>
        <v>1100</v>
      </c>
      <c r="I965" s="11">
        <f t="shared" ca="1" si="189"/>
        <v>0.40644333840557134</v>
      </c>
      <c r="J965" s="11">
        <f t="shared" ca="1" si="190"/>
        <v>5</v>
      </c>
      <c r="K965" s="24">
        <v>96</v>
      </c>
      <c r="L965" s="24">
        <f t="shared" ca="1" si="191"/>
        <v>50</v>
      </c>
      <c r="M965" s="24">
        <v>400</v>
      </c>
      <c r="N965" s="24">
        <v>20</v>
      </c>
      <c r="O965" s="24">
        <f t="shared" ca="1" si="192"/>
        <v>566</v>
      </c>
      <c r="P965" s="24">
        <v>983</v>
      </c>
      <c r="Q965" s="11">
        <f t="shared" ca="1" si="193"/>
        <v>50</v>
      </c>
      <c r="R965" s="24">
        <v>200</v>
      </c>
      <c r="S965" s="24">
        <v>10</v>
      </c>
      <c r="T965" s="24">
        <f t="shared" ca="1" si="194"/>
        <v>1243</v>
      </c>
    </row>
    <row r="966" spans="1:20" x14ac:dyDescent="0.45">
      <c r="A966" s="11">
        <v>953</v>
      </c>
      <c r="B966" s="11">
        <f t="shared" ca="1" si="182"/>
        <v>0.13797749552610639</v>
      </c>
      <c r="C966" s="11">
        <f t="shared" ca="1" si="183"/>
        <v>1100</v>
      </c>
      <c r="D966" s="11">
        <f t="shared" ca="1" si="184"/>
        <v>0.89395635481342983</v>
      </c>
      <c r="E966" s="11">
        <f t="shared" ca="1" si="185"/>
        <v>1700</v>
      </c>
      <c r="F966" s="11">
        <f t="shared" ca="1" si="186"/>
        <v>5.1691180945017012E-2</v>
      </c>
      <c r="G966" s="11">
        <f t="shared" ca="1" si="187"/>
        <v>1000</v>
      </c>
      <c r="H966" s="11">
        <f t="shared" ca="1" si="188"/>
        <v>1000</v>
      </c>
      <c r="I966" s="11">
        <f t="shared" ca="1" si="189"/>
        <v>9.1325603279062806E-2</v>
      </c>
      <c r="J966" s="11">
        <f t="shared" ca="1" si="190"/>
        <v>5</v>
      </c>
      <c r="K966" s="24">
        <v>96</v>
      </c>
      <c r="L966" s="24">
        <f t="shared" ca="1" si="191"/>
        <v>50</v>
      </c>
      <c r="M966" s="24">
        <v>400</v>
      </c>
      <c r="N966" s="24">
        <v>20</v>
      </c>
      <c r="O966" s="24">
        <f t="shared" ca="1" si="192"/>
        <v>566</v>
      </c>
      <c r="P966" s="24">
        <v>984</v>
      </c>
      <c r="Q966" s="11">
        <f t="shared" ca="1" si="193"/>
        <v>50</v>
      </c>
      <c r="R966" s="24">
        <v>200</v>
      </c>
      <c r="S966" s="24">
        <v>10</v>
      </c>
      <c r="T966" s="24">
        <f t="shared" ca="1" si="194"/>
        <v>1244</v>
      </c>
    </row>
    <row r="967" spans="1:20" x14ac:dyDescent="0.45">
      <c r="A967" s="11">
        <v>954</v>
      </c>
      <c r="B967" s="11">
        <f t="shared" ca="1" si="182"/>
        <v>0.39201829730884563</v>
      </c>
      <c r="C967" s="11">
        <f t="shared" ca="1" si="183"/>
        <v>1200</v>
      </c>
      <c r="D967" s="11">
        <f t="shared" ca="1" si="184"/>
        <v>7.7643876532531797E-2</v>
      </c>
      <c r="E967" s="11">
        <f t="shared" ca="1" si="185"/>
        <v>1000</v>
      </c>
      <c r="F967" s="11">
        <f t="shared" ca="1" si="186"/>
        <v>0.77129118039819999</v>
      </c>
      <c r="G967" s="11">
        <f t="shared" ca="1" si="187"/>
        <v>1500</v>
      </c>
      <c r="H967" s="11">
        <f t="shared" ca="1" si="188"/>
        <v>1000</v>
      </c>
      <c r="I967" s="11">
        <f t="shared" ca="1" si="189"/>
        <v>0.67797794771416287</v>
      </c>
      <c r="J967" s="11">
        <f t="shared" ca="1" si="190"/>
        <v>10</v>
      </c>
      <c r="K967" s="24">
        <v>96</v>
      </c>
      <c r="L967" s="24">
        <f t="shared" ca="1" si="191"/>
        <v>100</v>
      </c>
      <c r="M967" s="24">
        <v>400</v>
      </c>
      <c r="N967" s="24">
        <v>20</v>
      </c>
      <c r="O967" s="24">
        <f t="shared" ca="1" si="192"/>
        <v>616</v>
      </c>
      <c r="P967" s="24">
        <v>985</v>
      </c>
      <c r="Q967" s="11">
        <f t="shared" ca="1" si="193"/>
        <v>100</v>
      </c>
      <c r="R967" s="24">
        <v>200</v>
      </c>
      <c r="S967" s="24">
        <v>10</v>
      </c>
      <c r="T967" s="24">
        <f t="shared" ca="1" si="194"/>
        <v>1295</v>
      </c>
    </row>
    <row r="968" spans="1:20" x14ac:dyDescent="0.45">
      <c r="A968" s="11">
        <v>955</v>
      </c>
      <c r="B968" s="11">
        <f t="shared" ca="1" si="182"/>
        <v>0.82558416950294533</v>
      </c>
      <c r="C968" s="11">
        <f t="shared" ca="1" si="183"/>
        <v>1600</v>
      </c>
      <c r="D968" s="11">
        <f t="shared" ca="1" si="184"/>
        <v>0.59928592328464902</v>
      </c>
      <c r="E968" s="11">
        <f t="shared" ca="1" si="185"/>
        <v>1300</v>
      </c>
      <c r="F968" s="11">
        <f t="shared" ca="1" si="186"/>
        <v>0.65316264138157742</v>
      </c>
      <c r="G968" s="11">
        <f t="shared" ca="1" si="187"/>
        <v>1400</v>
      </c>
      <c r="H968" s="11">
        <f t="shared" ca="1" si="188"/>
        <v>1300</v>
      </c>
      <c r="I968" s="11">
        <f t="shared" ca="1" si="189"/>
        <v>0.66460132898894919</v>
      </c>
      <c r="J968" s="11">
        <f t="shared" ca="1" si="190"/>
        <v>10</v>
      </c>
      <c r="K968" s="24">
        <v>96</v>
      </c>
      <c r="L968" s="24">
        <f t="shared" ca="1" si="191"/>
        <v>100</v>
      </c>
      <c r="M968" s="24">
        <v>400</v>
      </c>
      <c r="N968" s="24">
        <v>20</v>
      </c>
      <c r="O968" s="24">
        <f t="shared" ca="1" si="192"/>
        <v>616</v>
      </c>
      <c r="P968" s="24">
        <v>986</v>
      </c>
      <c r="Q968" s="11">
        <f t="shared" ca="1" si="193"/>
        <v>100</v>
      </c>
      <c r="R968" s="24">
        <v>200</v>
      </c>
      <c r="S968" s="24">
        <v>10</v>
      </c>
      <c r="T968" s="24">
        <f t="shared" ca="1" si="194"/>
        <v>1296</v>
      </c>
    </row>
    <row r="969" spans="1:20" x14ac:dyDescent="0.45">
      <c r="A969" s="11">
        <v>956</v>
      </c>
      <c r="B969" s="11">
        <f t="shared" ca="1" si="182"/>
        <v>0.32713690905383397</v>
      </c>
      <c r="C969" s="11">
        <f t="shared" ca="1" si="183"/>
        <v>1200</v>
      </c>
      <c r="D969" s="11">
        <f t="shared" ca="1" si="184"/>
        <v>0.51095944356913459</v>
      </c>
      <c r="E969" s="11">
        <f t="shared" ca="1" si="185"/>
        <v>1300</v>
      </c>
      <c r="F969" s="11">
        <f t="shared" ca="1" si="186"/>
        <v>0.97130201655569404</v>
      </c>
      <c r="G969" s="11">
        <f t="shared" ca="1" si="187"/>
        <v>1900</v>
      </c>
      <c r="H969" s="11">
        <f t="shared" ca="1" si="188"/>
        <v>1200</v>
      </c>
      <c r="I969" s="11">
        <f t="shared" ca="1" si="189"/>
        <v>0.51908167770907832</v>
      </c>
      <c r="J969" s="11">
        <f t="shared" ca="1" si="190"/>
        <v>5</v>
      </c>
      <c r="K969" s="24">
        <v>96</v>
      </c>
      <c r="L969" s="24">
        <f t="shared" ca="1" si="191"/>
        <v>50</v>
      </c>
      <c r="M969" s="24">
        <v>400</v>
      </c>
      <c r="N969" s="24">
        <v>20</v>
      </c>
      <c r="O969" s="24">
        <f t="shared" ca="1" si="192"/>
        <v>566</v>
      </c>
      <c r="P969" s="24">
        <v>987</v>
      </c>
      <c r="Q969" s="11">
        <f t="shared" ca="1" si="193"/>
        <v>50</v>
      </c>
      <c r="R969" s="24">
        <v>200</v>
      </c>
      <c r="S969" s="24">
        <v>10</v>
      </c>
      <c r="T969" s="24">
        <f t="shared" ca="1" si="194"/>
        <v>1247</v>
      </c>
    </row>
    <row r="970" spans="1:20" x14ac:dyDescent="0.45">
      <c r="A970" s="11">
        <v>957</v>
      </c>
      <c r="B970" s="11">
        <f t="shared" ca="1" si="182"/>
        <v>0.69142030535106713</v>
      </c>
      <c r="C970" s="11">
        <f t="shared" ca="1" si="183"/>
        <v>1400</v>
      </c>
      <c r="D970" s="11">
        <f t="shared" ca="1" si="184"/>
        <v>0.91552457288816302</v>
      </c>
      <c r="E970" s="11">
        <f t="shared" ca="1" si="185"/>
        <v>1800</v>
      </c>
      <c r="F970" s="11">
        <f t="shared" ca="1" si="186"/>
        <v>0.82767850115466612</v>
      </c>
      <c r="G970" s="11">
        <f t="shared" ca="1" si="187"/>
        <v>1600</v>
      </c>
      <c r="H970" s="11">
        <f t="shared" ca="1" si="188"/>
        <v>1400</v>
      </c>
      <c r="I970" s="11">
        <f t="shared" ca="1" si="189"/>
        <v>5.2560907009144842E-3</v>
      </c>
      <c r="J970" s="11">
        <f t="shared" ca="1" si="190"/>
        <v>5</v>
      </c>
      <c r="K970" s="24">
        <v>96</v>
      </c>
      <c r="L970" s="24">
        <f t="shared" ca="1" si="191"/>
        <v>50</v>
      </c>
      <c r="M970" s="24">
        <v>400</v>
      </c>
      <c r="N970" s="24">
        <v>20</v>
      </c>
      <c r="O970" s="24">
        <f t="shared" ca="1" si="192"/>
        <v>566</v>
      </c>
      <c r="P970" s="24">
        <v>988</v>
      </c>
      <c r="Q970" s="11">
        <f t="shared" ca="1" si="193"/>
        <v>50</v>
      </c>
      <c r="R970" s="24">
        <v>200</v>
      </c>
      <c r="S970" s="24">
        <v>10</v>
      </c>
      <c r="T970" s="24">
        <f t="shared" ca="1" si="194"/>
        <v>1248</v>
      </c>
    </row>
    <row r="971" spans="1:20" x14ac:dyDescent="0.45">
      <c r="A971" s="11">
        <v>958</v>
      </c>
      <c r="B971" s="11">
        <f t="shared" ca="1" si="182"/>
        <v>0.3813093274013245</v>
      </c>
      <c r="C971" s="11">
        <f t="shared" ca="1" si="183"/>
        <v>1200</v>
      </c>
      <c r="D971" s="11">
        <f t="shared" ca="1" si="184"/>
        <v>0.18275918995008278</v>
      </c>
      <c r="E971" s="11">
        <f t="shared" ca="1" si="185"/>
        <v>1100</v>
      </c>
      <c r="F971" s="11">
        <f t="shared" ca="1" si="186"/>
        <v>7.7576299147671057E-2</v>
      </c>
      <c r="G971" s="11">
        <f t="shared" ca="1" si="187"/>
        <v>1000</v>
      </c>
      <c r="H971" s="11">
        <f t="shared" ca="1" si="188"/>
        <v>1000</v>
      </c>
      <c r="I971" s="11">
        <f t="shared" ca="1" si="189"/>
        <v>0.61075721477279832</v>
      </c>
      <c r="J971" s="11">
        <f t="shared" ca="1" si="190"/>
        <v>10</v>
      </c>
      <c r="K971" s="24">
        <v>96</v>
      </c>
      <c r="L971" s="24">
        <f t="shared" ca="1" si="191"/>
        <v>100</v>
      </c>
      <c r="M971" s="24">
        <v>400</v>
      </c>
      <c r="N971" s="24">
        <v>20</v>
      </c>
      <c r="O971" s="24">
        <f t="shared" ca="1" si="192"/>
        <v>616</v>
      </c>
      <c r="P971" s="24">
        <v>989</v>
      </c>
      <c r="Q971" s="11">
        <f t="shared" ca="1" si="193"/>
        <v>100</v>
      </c>
      <c r="R971" s="24">
        <v>200</v>
      </c>
      <c r="S971" s="24">
        <v>10</v>
      </c>
      <c r="T971" s="24">
        <f t="shared" ca="1" si="194"/>
        <v>1299</v>
      </c>
    </row>
    <row r="972" spans="1:20" x14ac:dyDescent="0.45">
      <c r="A972" s="11">
        <v>959</v>
      </c>
      <c r="B972" s="11">
        <f t="shared" ca="1" si="182"/>
        <v>0.93916591286733186</v>
      </c>
      <c r="C972" s="11">
        <f t="shared" ca="1" si="183"/>
        <v>1800</v>
      </c>
      <c r="D972" s="11">
        <f t="shared" ca="1" si="184"/>
        <v>0.17301077793713393</v>
      </c>
      <c r="E972" s="11">
        <f t="shared" ca="1" si="185"/>
        <v>1100</v>
      </c>
      <c r="F972" s="11">
        <f t="shared" ca="1" si="186"/>
        <v>0.41640089753216125</v>
      </c>
      <c r="G972" s="11">
        <f t="shared" ca="1" si="187"/>
        <v>1200</v>
      </c>
      <c r="H972" s="11">
        <f t="shared" ca="1" si="188"/>
        <v>1100</v>
      </c>
      <c r="I972" s="11">
        <f t="shared" ca="1" si="189"/>
        <v>0.29805946775692105</v>
      </c>
      <c r="J972" s="11">
        <f t="shared" ca="1" si="190"/>
        <v>5</v>
      </c>
      <c r="K972" s="24">
        <v>96</v>
      </c>
      <c r="L972" s="24">
        <f t="shared" ca="1" si="191"/>
        <v>50</v>
      </c>
      <c r="M972" s="24">
        <v>400</v>
      </c>
      <c r="N972" s="24">
        <v>20</v>
      </c>
      <c r="O972" s="24">
        <f t="shared" ca="1" si="192"/>
        <v>566</v>
      </c>
      <c r="P972" s="24">
        <v>990</v>
      </c>
      <c r="Q972" s="11">
        <f t="shared" ca="1" si="193"/>
        <v>50</v>
      </c>
      <c r="R972" s="24">
        <v>200</v>
      </c>
      <c r="S972" s="24">
        <v>10</v>
      </c>
      <c r="T972" s="24">
        <f t="shared" ca="1" si="194"/>
        <v>1250</v>
      </c>
    </row>
    <row r="973" spans="1:20" x14ac:dyDescent="0.45">
      <c r="A973" s="11">
        <v>960</v>
      </c>
      <c r="B973" s="11">
        <f t="shared" ca="1" si="182"/>
        <v>0.83863866814191934</v>
      </c>
      <c r="C973" s="11">
        <f t="shared" ca="1" si="183"/>
        <v>1600</v>
      </c>
      <c r="D973" s="11">
        <f t="shared" ca="1" si="184"/>
        <v>0.16898100182513909</v>
      </c>
      <c r="E973" s="11">
        <f t="shared" ca="1" si="185"/>
        <v>1100</v>
      </c>
      <c r="F973" s="11">
        <f t="shared" ca="1" si="186"/>
        <v>0.82656683788375918</v>
      </c>
      <c r="G973" s="11">
        <f t="shared" ca="1" si="187"/>
        <v>1600</v>
      </c>
      <c r="H973" s="11">
        <f t="shared" ca="1" si="188"/>
        <v>1100</v>
      </c>
      <c r="I973" s="11">
        <f t="shared" ca="1" si="189"/>
        <v>0.71142845486464223</v>
      </c>
      <c r="J973" s="11">
        <f t="shared" ca="1" si="190"/>
        <v>10</v>
      </c>
      <c r="K973" s="24">
        <v>96</v>
      </c>
      <c r="L973" s="24">
        <f t="shared" ca="1" si="191"/>
        <v>100</v>
      </c>
      <c r="M973" s="24">
        <v>400</v>
      </c>
      <c r="N973" s="24">
        <v>20</v>
      </c>
      <c r="O973" s="24">
        <f t="shared" ca="1" si="192"/>
        <v>616</v>
      </c>
      <c r="P973" s="24">
        <v>991</v>
      </c>
      <c r="Q973" s="11">
        <f t="shared" ca="1" si="193"/>
        <v>100</v>
      </c>
      <c r="R973" s="24">
        <v>200</v>
      </c>
      <c r="S973" s="24">
        <v>10</v>
      </c>
      <c r="T973" s="24">
        <f t="shared" ca="1" si="194"/>
        <v>1301</v>
      </c>
    </row>
    <row r="974" spans="1:20" x14ac:dyDescent="0.45">
      <c r="A974" s="11">
        <v>961</v>
      </c>
      <c r="B974" s="11">
        <f t="shared" ca="1" si="182"/>
        <v>0.38833162264754006</v>
      </c>
      <c r="C974" s="11">
        <f t="shared" ca="1" si="183"/>
        <v>1200</v>
      </c>
      <c r="D974" s="11">
        <f t="shared" ca="1" si="184"/>
        <v>8.3040075582381911E-2</v>
      </c>
      <c r="E974" s="11">
        <f t="shared" ca="1" si="185"/>
        <v>1000</v>
      </c>
      <c r="F974" s="11">
        <f t="shared" ca="1" si="186"/>
        <v>0.58648043416923712</v>
      </c>
      <c r="G974" s="11">
        <f t="shared" ca="1" si="187"/>
        <v>1300</v>
      </c>
      <c r="H974" s="11">
        <f t="shared" ca="1" si="188"/>
        <v>1000</v>
      </c>
      <c r="I974" s="11">
        <f t="shared" ca="1" si="189"/>
        <v>0.18281552580239924</v>
      </c>
      <c r="J974" s="11">
        <f t="shared" ca="1" si="190"/>
        <v>5</v>
      </c>
      <c r="K974" s="24">
        <v>96</v>
      </c>
      <c r="L974" s="24">
        <f t="shared" ca="1" si="191"/>
        <v>50</v>
      </c>
      <c r="M974" s="24">
        <v>400</v>
      </c>
      <c r="N974" s="24">
        <v>20</v>
      </c>
      <c r="O974" s="24">
        <f t="shared" ca="1" si="192"/>
        <v>566</v>
      </c>
      <c r="P974" s="24">
        <v>992</v>
      </c>
      <c r="Q974" s="11">
        <f t="shared" ca="1" si="193"/>
        <v>50</v>
      </c>
      <c r="R974" s="24">
        <v>200</v>
      </c>
      <c r="S974" s="24">
        <v>10</v>
      </c>
      <c r="T974" s="24">
        <f t="shared" ca="1" si="194"/>
        <v>1252</v>
      </c>
    </row>
    <row r="975" spans="1:20" x14ac:dyDescent="0.45">
      <c r="A975" s="11">
        <v>962</v>
      </c>
      <c r="B975" s="11">
        <f t="shared" ref="B975:B1013" ca="1" si="195">RAND()</f>
        <v>0.52839158764488103</v>
      </c>
      <c r="C975" s="11">
        <f t="shared" ref="C975:C1013" ca="1" si="196">LOOKUP(B975, $C$2:$C$11, $A$2:$A$11)</f>
        <v>1300</v>
      </c>
      <c r="D975" s="11">
        <f t="shared" ref="D975:D1013" ca="1" si="197">RAND()</f>
        <v>0.72301314889266277</v>
      </c>
      <c r="E975" s="11">
        <f t="shared" ref="E975:E1013" ca="1" si="198">LOOKUP(D975, $C$2:$C$11, $A$2:$A$11)</f>
        <v>1500</v>
      </c>
      <c r="F975" s="11">
        <f t="shared" ref="F975:F1013" ca="1" si="199">RAND()</f>
        <v>4.9368335600682101E-2</v>
      </c>
      <c r="G975" s="11">
        <f t="shared" ref="G975:G1013" ca="1" si="200">LOOKUP(F975, $C$2:$C$11, $A$2:$A$11)</f>
        <v>1000</v>
      </c>
      <c r="H975" s="11">
        <f t="shared" ref="H975:H1014" ca="1" si="201">MIN(C975, E975, G975)</f>
        <v>1000</v>
      </c>
      <c r="I975" s="11">
        <f t="shared" ref="I975:I1014" ca="1" si="202">RAND()</f>
        <v>1.6559278755629681E-2</v>
      </c>
      <c r="J975" s="11">
        <f t="shared" ref="J975:J1013" ca="1" si="203">LOOKUP(I975, $G$2:$G$4, $E$2:$E$4)</f>
        <v>5</v>
      </c>
      <c r="K975" s="24">
        <v>96</v>
      </c>
      <c r="L975" s="24">
        <f t="shared" ref="L975:L1013" ca="1" si="204">J975*10</f>
        <v>50</v>
      </c>
      <c r="M975" s="24">
        <v>400</v>
      </c>
      <c r="N975" s="24">
        <v>20</v>
      </c>
      <c r="O975" s="24">
        <f t="shared" ref="O975:O1013" ca="1" si="205">K975+L975+M975+N975</f>
        <v>566</v>
      </c>
      <c r="P975" s="24">
        <v>993</v>
      </c>
      <c r="Q975" s="11">
        <f t="shared" ref="Q975:Q1013" ca="1" si="206">J975*10</f>
        <v>50</v>
      </c>
      <c r="R975" s="24">
        <v>200</v>
      </c>
      <c r="S975" s="24">
        <v>10</v>
      </c>
      <c r="T975" s="24">
        <f t="shared" ref="T975:T1013" ca="1" si="207">SUM(P975:S975)</f>
        <v>1253</v>
      </c>
    </row>
    <row r="976" spans="1:20" x14ac:dyDescent="0.45">
      <c r="A976" s="11">
        <v>963</v>
      </c>
      <c r="B976" s="11">
        <f t="shared" ca="1" si="195"/>
        <v>0.83597087390622749</v>
      </c>
      <c r="C976" s="11">
        <f t="shared" ca="1" si="196"/>
        <v>1600</v>
      </c>
      <c r="D976" s="11">
        <f t="shared" ca="1" si="197"/>
        <v>0.33084224637064219</v>
      </c>
      <c r="E976" s="11">
        <f t="shared" ca="1" si="198"/>
        <v>1200</v>
      </c>
      <c r="F976" s="11">
        <f t="shared" ca="1" si="199"/>
        <v>0.5580222637227874</v>
      </c>
      <c r="G976" s="11">
        <f t="shared" ca="1" si="200"/>
        <v>1300</v>
      </c>
      <c r="H976" s="11">
        <f t="shared" ca="1" si="201"/>
        <v>1200</v>
      </c>
      <c r="I976" s="11">
        <f t="shared" ca="1" si="202"/>
        <v>0.17094668896333209</v>
      </c>
      <c r="J976" s="11">
        <f t="shared" ca="1" si="203"/>
        <v>5</v>
      </c>
      <c r="K976" s="24">
        <v>96</v>
      </c>
      <c r="L976" s="24">
        <f t="shared" ca="1" si="204"/>
        <v>50</v>
      </c>
      <c r="M976" s="24">
        <v>400</v>
      </c>
      <c r="N976" s="24">
        <v>20</v>
      </c>
      <c r="O976" s="24">
        <f t="shared" ca="1" si="205"/>
        <v>566</v>
      </c>
      <c r="P976" s="24">
        <v>994</v>
      </c>
      <c r="Q976" s="11">
        <f t="shared" ca="1" si="206"/>
        <v>50</v>
      </c>
      <c r="R976" s="24">
        <v>200</v>
      </c>
      <c r="S976" s="24">
        <v>10</v>
      </c>
      <c r="T976" s="24">
        <f t="shared" ca="1" si="207"/>
        <v>1254</v>
      </c>
    </row>
    <row r="977" spans="1:20" x14ac:dyDescent="0.45">
      <c r="A977" s="11">
        <v>964</v>
      </c>
      <c r="B977" s="11">
        <f t="shared" ca="1" si="195"/>
        <v>0.8586042917072193</v>
      </c>
      <c r="C977" s="11">
        <f t="shared" ca="1" si="196"/>
        <v>1700</v>
      </c>
      <c r="D977" s="11">
        <f t="shared" ca="1" si="197"/>
        <v>7.4449832084486633E-2</v>
      </c>
      <c r="E977" s="11">
        <f t="shared" ca="1" si="198"/>
        <v>1000</v>
      </c>
      <c r="F977" s="11">
        <f t="shared" ca="1" si="199"/>
        <v>0.76561159748216567</v>
      </c>
      <c r="G977" s="11">
        <f t="shared" ca="1" si="200"/>
        <v>1500</v>
      </c>
      <c r="H977" s="11">
        <f t="shared" ca="1" si="201"/>
        <v>1000</v>
      </c>
      <c r="I977" s="11">
        <f t="shared" ca="1" si="202"/>
        <v>0.94004581182482272</v>
      </c>
      <c r="J977" s="11">
        <f t="shared" ca="1" si="203"/>
        <v>15</v>
      </c>
      <c r="K977" s="24">
        <v>96</v>
      </c>
      <c r="L977" s="24">
        <f t="shared" ca="1" si="204"/>
        <v>150</v>
      </c>
      <c r="M977" s="24">
        <v>400</v>
      </c>
      <c r="N977" s="24">
        <v>20</v>
      </c>
      <c r="O977" s="24">
        <f t="shared" ca="1" si="205"/>
        <v>666</v>
      </c>
      <c r="P977" s="24">
        <v>995</v>
      </c>
      <c r="Q977" s="11">
        <f t="shared" ca="1" si="206"/>
        <v>150</v>
      </c>
      <c r="R977" s="24">
        <v>200</v>
      </c>
      <c r="S977" s="24">
        <v>10</v>
      </c>
      <c r="T977" s="24">
        <f t="shared" ca="1" si="207"/>
        <v>1355</v>
      </c>
    </row>
    <row r="978" spans="1:20" x14ac:dyDescent="0.45">
      <c r="A978" s="11">
        <v>965</v>
      </c>
      <c r="B978" s="11">
        <f t="shared" ca="1" si="195"/>
        <v>0.9434564321085922</v>
      </c>
      <c r="C978" s="11">
        <f t="shared" ca="1" si="196"/>
        <v>1800</v>
      </c>
      <c r="D978" s="11">
        <f t="shared" ca="1" si="197"/>
        <v>0.49458354547810446</v>
      </c>
      <c r="E978" s="11">
        <f t="shared" ca="1" si="198"/>
        <v>1300</v>
      </c>
      <c r="F978" s="11">
        <f t="shared" ca="1" si="199"/>
        <v>0.24997333101168762</v>
      </c>
      <c r="G978" s="11">
        <f t="shared" ca="1" si="200"/>
        <v>1200</v>
      </c>
      <c r="H978" s="11">
        <f t="shared" ca="1" si="201"/>
        <v>1200</v>
      </c>
      <c r="I978" s="11">
        <f t="shared" ca="1" si="202"/>
        <v>0.2548746077510663</v>
      </c>
      <c r="J978" s="11">
        <f t="shared" ca="1" si="203"/>
        <v>5</v>
      </c>
      <c r="K978" s="24">
        <v>96</v>
      </c>
      <c r="L978" s="24">
        <f t="shared" ca="1" si="204"/>
        <v>50</v>
      </c>
      <c r="M978" s="24">
        <v>400</v>
      </c>
      <c r="N978" s="24">
        <v>20</v>
      </c>
      <c r="O978" s="24">
        <f t="shared" ca="1" si="205"/>
        <v>566</v>
      </c>
      <c r="P978" s="24">
        <v>996</v>
      </c>
      <c r="Q978" s="11">
        <f t="shared" ca="1" si="206"/>
        <v>50</v>
      </c>
      <c r="R978" s="24">
        <v>200</v>
      </c>
      <c r="S978" s="24">
        <v>10</v>
      </c>
      <c r="T978" s="24">
        <f t="shared" ca="1" si="207"/>
        <v>1256</v>
      </c>
    </row>
    <row r="979" spans="1:20" x14ac:dyDescent="0.45">
      <c r="A979" s="11">
        <v>966</v>
      </c>
      <c r="B979" s="11">
        <f t="shared" ca="1" si="195"/>
        <v>0.16942319448425991</v>
      </c>
      <c r="C979" s="11">
        <f t="shared" ca="1" si="196"/>
        <v>1100</v>
      </c>
      <c r="D979" s="11">
        <f t="shared" ca="1" si="197"/>
        <v>0.29862847393996217</v>
      </c>
      <c r="E979" s="11">
        <f t="shared" ca="1" si="198"/>
        <v>1200</v>
      </c>
      <c r="F979" s="11">
        <f t="shared" ca="1" si="199"/>
        <v>0.10875215633255009</v>
      </c>
      <c r="G979" s="11">
        <f t="shared" ca="1" si="200"/>
        <v>1100</v>
      </c>
      <c r="H979" s="11">
        <f t="shared" ca="1" si="201"/>
        <v>1100</v>
      </c>
      <c r="I979" s="11">
        <f t="shared" ca="1" si="202"/>
        <v>0.89174664921035685</v>
      </c>
      <c r="J979" s="11">
        <f t="shared" ca="1" si="203"/>
        <v>10</v>
      </c>
      <c r="K979" s="24">
        <v>96</v>
      </c>
      <c r="L979" s="24">
        <f t="shared" ca="1" si="204"/>
        <v>100</v>
      </c>
      <c r="M979" s="24">
        <v>400</v>
      </c>
      <c r="N979" s="24">
        <v>20</v>
      </c>
      <c r="O979" s="24">
        <f t="shared" ca="1" si="205"/>
        <v>616</v>
      </c>
      <c r="P979" s="24">
        <v>997</v>
      </c>
      <c r="Q979" s="11">
        <f t="shared" ca="1" si="206"/>
        <v>100</v>
      </c>
      <c r="R979" s="24">
        <v>200</v>
      </c>
      <c r="S979" s="24">
        <v>10</v>
      </c>
      <c r="T979" s="24">
        <f t="shared" ca="1" si="207"/>
        <v>1307</v>
      </c>
    </row>
    <row r="980" spans="1:20" x14ac:dyDescent="0.45">
      <c r="A980" s="11">
        <v>967</v>
      </c>
      <c r="B980" s="11">
        <f t="shared" ca="1" si="195"/>
        <v>0.12115498130627966</v>
      </c>
      <c r="C980" s="11">
        <f t="shared" ca="1" si="196"/>
        <v>1100</v>
      </c>
      <c r="D980" s="11">
        <f t="shared" ca="1" si="197"/>
        <v>0.29468745943101604</v>
      </c>
      <c r="E980" s="11">
        <f t="shared" ca="1" si="198"/>
        <v>1200</v>
      </c>
      <c r="F980" s="11">
        <f t="shared" ca="1" si="199"/>
        <v>0.99559050206407163</v>
      </c>
      <c r="G980" s="11">
        <f t="shared" ca="1" si="200"/>
        <v>1900</v>
      </c>
      <c r="H980" s="11">
        <f t="shared" ca="1" si="201"/>
        <v>1100</v>
      </c>
      <c r="I980" s="11">
        <f t="shared" ca="1" si="202"/>
        <v>0.25198903437699438</v>
      </c>
      <c r="J980" s="11">
        <f t="shared" ca="1" si="203"/>
        <v>5</v>
      </c>
      <c r="K980" s="24">
        <v>96</v>
      </c>
      <c r="L980" s="24">
        <f t="shared" ca="1" si="204"/>
        <v>50</v>
      </c>
      <c r="M980" s="24">
        <v>400</v>
      </c>
      <c r="N980" s="24">
        <v>20</v>
      </c>
      <c r="O980" s="24">
        <f t="shared" ca="1" si="205"/>
        <v>566</v>
      </c>
      <c r="P980" s="24">
        <v>998</v>
      </c>
      <c r="Q980" s="11">
        <f t="shared" ca="1" si="206"/>
        <v>50</v>
      </c>
      <c r="R980" s="24">
        <v>200</v>
      </c>
      <c r="S980" s="24">
        <v>10</v>
      </c>
      <c r="T980" s="24">
        <f t="shared" ca="1" si="207"/>
        <v>1258</v>
      </c>
    </row>
    <row r="981" spans="1:20" x14ac:dyDescent="0.45">
      <c r="A981" s="11">
        <v>968</v>
      </c>
      <c r="B981" s="11">
        <f t="shared" ca="1" si="195"/>
        <v>0.97376766051675712</v>
      </c>
      <c r="C981" s="11">
        <f t="shared" ca="1" si="196"/>
        <v>1900</v>
      </c>
      <c r="D981" s="11">
        <f t="shared" ca="1" si="197"/>
        <v>0.60506214634948619</v>
      </c>
      <c r="E981" s="11">
        <f t="shared" ca="1" si="198"/>
        <v>1300</v>
      </c>
      <c r="F981" s="11">
        <f t="shared" ca="1" si="199"/>
        <v>3.6364224811960333E-2</v>
      </c>
      <c r="G981" s="11">
        <f t="shared" ca="1" si="200"/>
        <v>1000</v>
      </c>
      <c r="H981" s="11">
        <f t="shared" ca="1" si="201"/>
        <v>1000</v>
      </c>
      <c r="I981" s="11">
        <f t="shared" ca="1" si="202"/>
        <v>0.54864219907012857</v>
      </c>
      <c r="J981" s="11">
        <f t="shared" ca="1" si="203"/>
        <v>5</v>
      </c>
      <c r="K981" s="24">
        <v>96</v>
      </c>
      <c r="L981" s="24">
        <f t="shared" ca="1" si="204"/>
        <v>50</v>
      </c>
      <c r="M981" s="24">
        <v>400</v>
      </c>
      <c r="N981" s="24">
        <v>20</v>
      </c>
      <c r="O981" s="24">
        <f t="shared" ca="1" si="205"/>
        <v>566</v>
      </c>
      <c r="P981" s="24">
        <v>999</v>
      </c>
      <c r="Q981" s="11">
        <f t="shared" ca="1" si="206"/>
        <v>50</v>
      </c>
      <c r="R981" s="24">
        <v>200</v>
      </c>
      <c r="S981" s="24">
        <v>10</v>
      </c>
      <c r="T981" s="24">
        <f t="shared" ca="1" si="207"/>
        <v>1259</v>
      </c>
    </row>
    <row r="982" spans="1:20" x14ac:dyDescent="0.45">
      <c r="A982" s="11">
        <v>969</v>
      </c>
      <c r="B982" s="11">
        <f t="shared" ca="1" si="195"/>
        <v>0.15948239284268328</v>
      </c>
      <c r="C982" s="11">
        <f t="shared" ca="1" si="196"/>
        <v>1100</v>
      </c>
      <c r="D982" s="11">
        <f t="shared" ca="1" si="197"/>
        <v>0.88396170035789268</v>
      </c>
      <c r="E982" s="11">
        <f t="shared" ca="1" si="198"/>
        <v>1700</v>
      </c>
      <c r="F982" s="11">
        <f t="shared" ca="1" si="199"/>
        <v>0.53444778022947581</v>
      </c>
      <c r="G982" s="11">
        <f t="shared" ca="1" si="200"/>
        <v>1300</v>
      </c>
      <c r="H982" s="11">
        <f t="shared" ca="1" si="201"/>
        <v>1100</v>
      </c>
      <c r="I982" s="11">
        <f t="shared" ca="1" si="202"/>
        <v>0.10786888798474947</v>
      </c>
      <c r="J982" s="11">
        <f t="shared" ca="1" si="203"/>
        <v>5</v>
      </c>
      <c r="K982" s="24">
        <v>96</v>
      </c>
      <c r="L982" s="24">
        <f t="shared" ca="1" si="204"/>
        <v>50</v>
      </c>
      <c r="M982" s="24">
        <v>400</v>
      </c>
      <c r="N982" s="24">
        <v>20</v>
      </c>
      <c r="O982" s="24">
        <f t="shared" ca="1" si="205"/>
        <v>566</v>
      </c>
      <c r="P982" s="24">
        <v>1000</v>
      </c>
      <c r="Q982" s="11">
        <f t="shared" ca="1" si="206"/>
        <v>50</v>
      </c>
      <c r="R982" s="24">
        <v>200</v>
      </c>
      <c r="S982" s="24">
        <v>10</v>
      </c>
      <c r="T982" s="24">
        <f t="shared" ca="1" si="207"/>
        <v>1260</v>
      </c>
    </row>
    <row r="983" spans="1:20" x14ac:dyDescent="0.45">
      <c r="A983" s="11">
        <v>970</v>
      </c>
      <c r="B983" s="11">
        <f t="shared" ca="1" si="195"/>
        <v>0.45166836379388664</v>
      </c>
      <c r="C983" s="11">
        <f t="shared" ca="1" si="196"/>
        <v>1200</v>
      </c>
      <c r="D983" s="11">
        <f t="shared" ca="1" si="197"/>
        <v>0.52935129931334257</v>
      </c>
      <c r="E983" s="11">
        <f t="shared" ca="1" si="198"/>
        <v>1300</v>
      </c>
      <c r="F983" s="11">
        <f t="shared" ca="1" si="199"/>
        <v>0.24980610198103015</v>
      </c>
      <c r="G983" s="11">
        <f t="shared" ca="1" si="200"/>
        <v>1200</v>
      </c>
      <c r="H983" s="11">
        <f t="shared" ca="1" si="201"/>
        <v>1200</v>
      </c>
      <c r="I983" s="11">
        <f t="shared" ca="1" si="202"/>
        <v>2.4215261100891672E-2</v>
      </c>
      <c r="J983" s="11">
        <f t="shared" ca="1" si="203"/>
        <v>5</v>
      </c>
      <c r="K983" s="24">
        <v>96</v>
      </c>
      <c r="L983" s="24">
        <f t="shared" ca="1" si="204"/>
        <v>50</v>
      </c>
      <c r="M983" s="24">
        <v>400</v>
      </c>
      <c r="N983" s="24">
        <v>20</v>
      </c>
      <c r="O983" s="24">
        <f t="shared" ca="1" si="205"/>
        <v>566</v>
      </c>
      <c r="P983" s="24">
        <v>1001</v>
      </c>
      <c r="Q983" s="11">
        <f t="shared" ca="1" si="206"/>
        <v>50</v>
      </c>
      <c r="R983" s="24">
        <v>200</v>
      </c>
      <c r="S983" s="24">
        <v>10</v>
      </c>
      <c r="T983" s="24">
        <f t="shared" ca="1" si="207"/>
        <v>1261</v>
      </c>
    </row>
    <row r="984" spans="1:20" x14ac:dyDescent="0.45">
      <c r="A984" s="11">
        <v>971</v>
      </c>
      <c r="B984" s="11">
        <f t="shared" ca="1" si="195"/>
        <v>0.48712758509678444</v>
      </c>
      <c r="C984" s="11">
        <f t="shared" ca="1" si="196"/>
        <v>1300</v>
      </c>
      <c r="D984" s="11">
        <f t="shared" ca="1" si="197"/>
        <v>0.26618994073941815</v>
      </c>
      <c r="E984" s="11">
        <f t="shared" ca="1" si="198"/>
        <v>1200</v>
      </c>
      <c r="F984" s="11">
        <f t="shared" ca="1" si="199"/>
        <v>0.44937806757494159</v>
      </c>
      <c r="G984" s="11">
        <f t="shared" ca="1" si="200"/>
        <v>1200</v>
      </c>
      <c r="H984" s="11">
        <f t="shared" ca="1" si="201"/>
        <v>1200</v>
      </c>
      <c r="I984" s="11">
        <f t="shared" ca="1" si="202"/>
        <v>6.4357509949155234E-2</v>
      </c>
      <c r="J984" s="11">
        <f t="shared" ca="1" si="203"/>
        <v>5</v>
      </c>
      <c r="K984" s="24">
        <v>96</v>
      </c>
      <c r="L984" s="24">
        <f t="shared" ca="1" si="204"/>
        <v>50</v>
      </c>
      <c r="M984" s="24">
        <v>400</v>
      </c>
      <c r="N984" s="24">
        <v>20</v>
      </c>
      <c r="O984" s="24">
        <f t="shared" ca="1" si="205"/>
        <v>566</v>
      </c>
      <c r="P984" s="24">
        <v>1002</v>
      </c>
      <c r="Q984" s="11">
        <f t="shared" ca="1" si="206"/>
        <v>50</v>
      </c>
      <c r="R984" s="24">
        <v>200</v>
      </c>
      <c r="S984" s="24">
        <v>10</v>
      </c>
      <c r="T984" s="24">
        <f t="shared" ca="1" si="207"/>
        <v>1262</v>
      </c>
    </row>
    <row r="985" spans="1:20" x14ac:dyDescent="0.45">
      <c r="A985" s="11">
        <v>972</v>
      </c>
      <c r="B985" s="11">
        <f t="shared" ca="1" si="195"/>
        <v>0.23812220766181758</v>
      </c>
      <c r="C985" s="11">
        <f t="shared" ca="1" si="196"/>
        <v>1200</v>
      </c>
      <c r="D985" s="11">
        <f t="shared" ca="1" si="197"/>
        <v>7.5235648234581398E-2</v>
      </c>
      <c r="E985" s="11">
        <f t="shared" ca="1" si="198"/>
        <v>1000</v>
      </c>
      <c r="F985" s="11">
        <f t="shared" ca="1" si="199"/>
        <v>0.75478703337121111</v>
      </c>
      <c r="G985" s="11">
        <f t="shared" ca="1" si="200"/>
        <v>1500</v>
      </c>
      <c r="H985" s="11">
        <f t="shared" ca="1" si="201"/>
        <v>1000</v>
      </c>
      <c r="I985" s="11">
        <f t="shared" ca="1" si="202"/>
        <v>0.46780460360794074</v>
      </c>
      <c r="J985" s="11">
        <f t="shared" ca="1" si="203"/>
        <v>5</v>
      </c>
      <c r="K985" s="24">
        <v>96</v>
      </c>
      <c r="L985" s="24">
        <f t="shared" ca="1" si="204"/>
        <v>50</v>
      </c>
      <c r="M985" s="24">
        <v>400</v>
      </c>
      <c r="N985" s="24">
        <v>20</v>
      </c>
      <c r="O985" s="24">
        <f t="shared" ca="1" si="205"/>
        <v>566</v>
      </c>
      <c r="P985" s="24">
        <v>1003</v>
      </c>
      <c r="Q985" s="11">
        <f t="shared" ca="1" si="206"/>
        <v>50</v>
      </c>
      <c r="R985" s="24">
        <v>200</v>
      </c>
      <c r="S985" s="24">
        <v>10</v>
      </c>
      <c r="T985" s="24">
        <f t="shared" ca="1" si="207"/>
        <v>1263</v>
      </c>
    </row>
    <row r="986" spans="1:20" x14ac:dyDescent="0.45">
      <c r="A986" s="11">
        <v>973</v>
      </c>
      <c r="B986" s="11">
        <f t="shared" ca="1" si="195"/>
        <v>4.5466833770368531E-2</v>
      </c>
      <c r="C986" s="11">
        <f t="shared" ca="1" si="196"/>
        <v>1000</v>
      </c>
      <c r="D986" s="11">
        <f t="shared" ca="1" si="197"/>
        <v>0.65833329984049682</v>
      </c>
      <c r="E986" s="11">
        <f t="shared" ca="1" si="198"/>
        <v>1400</v>
      </c>
      <c r="F986" s="11">
        <f t="shared" ca="1" si="199"/>
        <v>0.39990431831931106</v>
      </c>
      <c r="G986" s="11">
        <f t="shared" ca="1" si="200"/>
        <v>1200</v>
      </c>
      <c r="H986" s="11">
        <f t="shared" ca="1" si="201"/>
        <v>1000</v>
      </c>
      <c r="I986" s="11">
        <f t="shared" ca="1" si="202"/>
        <v>0.92739043257782505</v>
      </c>
      <c r="J986" s="11">
        <f t="shared" ca="1" si="203"/>
        <v>15</v>
      </c>
      <c r="K986" s="24">
        <v>96</v>
      </c>
      <c r="L986" s="24">
        <f t="shared" ca="1" si="204"/>
        <v>150</v>
      </c>
      <c r="M986" s="24">
        <v>400</v>
      </c>
      <c r="N986" s="24">
        <v>20</v>
      </c>
      <c r="O986" s="24">
        <f t="shared" ca="1" si="205"/>
        <v>666</v>
      </c>
      <c r="P986" s="24">
        <v>1004</v>
      </c>
      <c r="Q986" s="11">
        <f t="shared" ca="1" si="206"/>
        <v>150</v>
      </c>
      <c r="R986" s="24">
        <v>200</v>
      </c>
      <c r="S986" s="24">
        <v>10</v>
      </c>
      <c r="T986" s="24">
        <f t="shared" ca="1" si="207"/>
        <v>1364</v>
      </c>
    </row>
    <row r="987" spans="1:20" x14ac:dyDescent="0.45">
      <c r="A987" s="11">
        <v>974</v>
      </c>
      <c r="B987" s="11">
        <f t="shared" ca="1" si="195"/>
        <v>3.7920305532207155E-2</v>
      </c>
      <c r="C987" s="11">
        <f t="shared" ca="1" si="196"/>
        <v>1000</v>
      </c>
      <c r="D987" s="11">
        <f t="shared" ca="1" si="197"/>
        <v>0.62715250972326031</v>
      </c>
      <c r="E987" s="11">
        <f t="shared" ca="1" si="198"/>
        <v>1400</v>
      </c>
      <c r="F987" s="11">
        <f t="shared" ca="1" si="199"/>
        <v>3.5609655098678306E-2</v>
      </c>
      <c r="G987" s="11">
        <f t="shared" ca="1" si="200"/>
        <v>1000</v>
      </c>
      <c r="H987" s="11">
        <f t="shared" ca="1" si="201"/>
        <v>1000</v>
      </c>
      <c r="I987" s="11">
        <f t="shared" ca="1" si="202"/>
        <v>0.68149717829707934</v>
      </c>
      <c r="J987" s="11">
        <f t="shared" ca="1" si="203"/>
        <v>10</v>
      </c>
      <c r="K987" s="24">
        <v>96</v>
      </c>
      <c r="L987" s="24">
        <f t="shared" ca="1" si="204"/>
        <v>100</v>
      </c>
      <c r="M987" s="24">
        <v>400</v>
      </c>
      <c r="N987" s="24">
        <v>20</v>
      </c>
      <c r="O987" s="24">
        <f t="shared" ca="1" si="205"/>
        <v>616</v>
      </c>
      <c r="P987" s="24">
        <v>1005</v>
      </c>
      <c r="Q987" s="11">
        <f t="shared" ca="1" si="206"/>
        <v>100</v>
      </c>
      <c r="R987" s="24">
        <v>200</v>
      </c>
      <c r="S987" s="24">
        <v>10</v>
      </c>
      <c r="T987" s="24">
        <f t="shared" ca="1" si="207"/>
        <v>1315</v>
      </c>
    </row>
    <row r="988" spans="1:20" x14ac:dyDescent="0.45">
      <c r="A988" s="11">
        <v>975</v>
      </c>
      <c r="B988" s="11">
        <f t="shared" ca="1" si="195"/>
        <v>9.7585305486929896E-2</v>
      </c>
      <c r="C988" s="11">
        <f t="shared" ca="1" si="196"/>
        <v>1000</v>
      </c>
      <c r="D988" s="11">
        <f t="shared" ca="1" si="197"/>
        <v>0.17771155982506404</v>
      </c>
      <c r="E988" s="11">
        <f t="shared" ca="1" si="198"/>
        <v>1100</v>
      </c>
      <c r="F988" s="11">
        <f t="shared" ca="1" si="199"/>
        <v>8.6479116157743507E-2</v>
      </c>
      <c r="G988" s="11">
        <f t="shared" ca="1" si="200"/>
        <v>1000</v>
      </c>
      <c r="H988" s="11">
        <f t="shared" ca="1" si="201"/>
        <v>1000</v>
      </c>
      <c r="I988" s="11">
        <f t="shared" ca="1" si="202"/>
        <v>6.3564379814531002E-2</v>
      </c>
      <c r="J988" s="11">
        <f t="shared" ca="1" si="203"/>
        <v>5</v>
      </c>
      <c r="K988" s="24">
        <v>96</v>
      </c>
      <c r="L988" s="24">
        <f t="shared" ca="1" si="204"/>
        <v>50</v>
      </c>
      <c r="M988" s="24">
        <v>400</v>
      </c>
      <c r="N988" s="24">
        <v>20</v>
      </c>
      <c r="O988" s="24">
        <f t="shared" ca="1" si="205"/>
        <v>566</v>
      </c>
      <c r="P988" s="24">
        <v>1006</v>
      </c>
      <c r="Q988" s="11">
        <f t="shared" ca="1" si="206"/>
        <v>50</v>
      </c>
      <c r="R988" s="24">
        <v>200</v>
      </c>
      <c r="S988" s="24">
        <v>10</v>
      </c>
      <c r="T988" s="24">
        <f t="shared" ca="1" si="207"/>
        <v>1266</v>
      </c>
    </row>
    <row r="989" spans="1:20" x14ac:dyDescent="0.45">
      <c r="A989" s="11">
        <v>976</v>
      </c>
      <c r="B989" s="11">
        <f t="shared" ca="1" si="195"/>
        <v>0.72853990721103179</v>
      </c>
      <c r="C989" s="11">
        <f t="shared" ca="1" si="196"/>
        <v>1500</v>
      </c>
      <c r="D989" s="11">
        <f t="shared" ca="1" si="197"/>
        <v>0.8951349535010974</v>
      </c>
      <c r="E989" s="11">
        <f t="shared" ca="1" si="198"/>
        <v>1700</v>
      </c>
      <c r="F989" s="11">
        <f t="shared" ca="1" si="199"/>
        <v>0.54340398512070265</v>
      </c>
      <c r="G989" s="11">
        <f t="shared" ca="1" si="200"/>
        <v>1300</v>
      </c>
      <c r="H989" s="11">
        <f t="shared" ca="1" si="201"/>
        <v>1300</v>
      </c>
      <c r="I989" s="11">
        <f t="shared" ca="1" si="202"/>
        <v>0.46146078165455029</v>
      </c>
      <c r="J989" s="11">
        <f t="shared" ca="1" si="203"/>
        <v>5</v>
      </c>
      <c r="K989" s="24">
        <v>96</v>
      </c>
      <c r="L989" s="24">
        <f t="shared" ca="1" si="204"/>
        <v>50</v>
      </c>
      <c r="M989" s="24">
        <v>400</v>
      </c>
      <c r="N989" s="24">
        <v>20</v>
      </c>
      <c r="O989" s="24">
        <f t="shared" ca="1" si="205"/>
        <v>566</v>
      </c>
      <c r="P989" s="24">
        <v>1007</v>
      </c>
      <c r="Q989" s="11">
        <f t="shared" ca="1" si="206"/>
        <v>50</v>
      </c>
      <c r="R989" s="24">
        <v>200</v>
      </c>
      <c r="S989" s="24">
        <v>10</v>
      </c>
      <c r="T989" s="24">
        <f t="shared" ca="1" si="207"/>
        <v>1267</v>
      </c>
    </row>
    <row r="990" spans="1:20" x14ac:dyDescent="0.45">
      <c r="A990" s="11">
        <v>977</v>
      </c>
      <c r="B990" s="11">
        <f t="shared" ca="1" si="195"/>
        <v>0.20500039798298686</v>
      </c>
      <c r="C990" s="11">
        <f t="shared" ca="1" si="196"/>
        <v>1100</v>
      </c>
      <c r="D990" s="11">
        <f t="shared" ca="1" si="197"/>
        <v>0.9582476313266387</v>
      </c>
      <c r="E990" s="11">
        <f t="shared" ca="1" si="198"/>
        <v>1900</v>
      </c>
      <c r="F990" s="11">
        <f t="shared" ca="1" si="199"/>
        <v>0.66131418653527541</v>
      </c>
      <c r="G990" s="11">
        <f t="shared" ca="1" si="200"/>
        <v>1400</v>
      </c>
      <c r="H990" s="11">
        <f t="shared" ca="1" si="201"/>
        <v>1100</v>
      </c>
      <c r="I990" s="11">
        <f t="shared" ca="1" si="202"/>
        <v>0.44276920754590787</v>
      </c>
      <c r="J990" s="11">
        <f t="shared" ca="1" si="203"/>
        <v>5</v>
      </c>
      <c r="K990" s="24">
        <v>96</v>
      </c>
      <c r="L990" s="24">
        <f t="shared" ca="1" si="204"/>
        <v>50</v>
      </c>
      <c r="M990" s="24">
        <v>400</v>
      </c>
      <c r="N990" s="24">
        <v>20</v>
      </c>
      <c r="O990" s="24">
        <f t="shared" ca="1" si="205"/>
        <v>566</v>
      </c>
      <c r="P990" s="24">
        <v>1008</v>
      </c>
      <c r="Q990" s="11">
        <f t="shared" ca="1" si="206"/>
        <v>50</v>
      </c>
      <c r="R990" s="24">
        <v>200</v>
      </c>
      <c r="S990" s="24">
        <v>10</v>
      </c>
      <c r="T990" s="24">
        <f t="shared" ca="1" si="207"/>
        <v>1268</v>
      </c>
    </row>
    <row r="991" spans="1:20" x14ac:dyDescent="0.45">
      <c r="A991" s="11">
        <v>978</v>
      </c>
      <c r="B991" s="11">
        <f t="shared" ca="1" si="195"/>
        <v>0.15681901939823129</v>
      </c>
      <c r="C991" s="11">
        <f t="shared" ca="1" si="196"/>
        <v>1100</v>
      </c>
      <c r="D991" s="11">
        <f t="shared" ca="1" si="197"/>
        <v>0.39899092300505301</v>
      </c>
      <c r="E991" s="11">
        <f t="shared" ca="1" si="198"/>
        <v>1200</v>
      </c>
      <c r="F991" s="11">
        <f t="shared" ca="1" si="199"/>
        <v>0.96333806003487421</v>
      </c>
      <c r="G991" s="11">
        <f t="shared" ca="1" si="200"/>
        <v>1900</v>
      </c>
      <c r="H991" s="11">
        <f t="shared" ca="1" si="201"/>
        <v>1100</v>
      </c>
      <c r="I991" s="11">
        <f t="shared" ca="1" si="202"/>
        <v>0.34653419728384749</v>
      </c>
      <c r="J991" s="11">
        <f t="shared" ca="1" si="203"/>
        <v>5</v>
      </c>
      <c r="K991" s="24">
        <v>96</v>
      </c>
      <c r="L991" s="24">
        <f t="shared" ca="1" si="204"/>
        <v>50</v>
      </c>
      <c r="M991" s="24">
        <v>400</v>
      </c>
      <c r="N991" s="24">
        <v>20</v>
      </c>
      <c r="O991" s="24">
        <f t="shared" ca="1" si="205"/>
        <v>566</v>
      </c>
      <c r="P991" s="24">
        <v>1009</v>
      </c>
      <c r="Q991" s="11">
        <f t="shared" ca="1" si="206"/>
        <v>50</v>
      </c>
      <c r="R991" s="24">
        <v>200</v>
      </c>
      <c r="S991" s="24">
        <v>10</v>
      </c>
      <c r="T991" s="24">
        <f t="shared" ca="1" si="207"/>
        <v>1269</v>
      </c>
    </row>
    <row r="992" spans="1:20" x14ac:dyDescent="0.45">
      <c r="A992" s="11">
        <v>979</v>
      </c>
      <c r="B992" s="11">
        <f t="shared" ca="1" si="195"/>
        <v>0.22638625237913768</v>
      </c>
      <c r="C992" s="11">
        <f t="shared" ca="1" si="196"/>
        <v>1100</v>
      </c>
      <c r="D992" s="11">
        <f t="shared" ca="1" si="197"/>
        <v>0.56495297487950014</v>
      </c>
      <c r="E992" s="11">
        <f t="shared" ca="1" si="198"/>
        <v>1300</v>
      </c>
      <c r="F992" s="11">
        <f t="shared" ca="1" si="199"/>
        <v>4.6715262872037866E-2</v>
      </c>
      <c r="G992" s="11">
        <f t="shared" ca="1" si="200"/>
        <v>1000</v>
      </c>
      <c r="H992" s="11">
        <f t="shared" ca="1" si="201"/>
        <v>1000</v>
      </c>
      <c r="I992" s="11">
        <f t="shared" ca="1" si="202"/>
        <v>0.13454743368244204</v>
      </c>
      <c r="J992" s="11">
        <f t="shared" ca="1" si="203"/>
        <v>5</v>
      </c>
      <c r="K992" s="24">
        <v>96</v>
      </c>
      <c r="L992" s="24">
        <f t="shared" ca="1" si="204"/>
        <v>50</v>
      </c>
      <c r="M992" s="24">
        <v>400</v>
      </c>
      <c r="N992" s="24">
        <v>20</v>
      </c>
      <c r="O992" s="24">
        <f t="shared" ca="1" si="205"/>
        <v>566</v>
      </c>
      <c r="P992" s="24">
        <v>1010</v>
      </c>
      <c r="Q992" s="11">
        <f t="shared" ca="1" si="206"/>
        <v>50</v>
      </c>
      <c r="R992" s="24">
        <v>200</v>
      </c>
      <c r="S992" s="24">
        <v>10</v>
      </c>
      <c r="T992" s="24">
        <f t="shared" ca="1" si="207"/>
        <v>1270</v>
      </c>
    </row>
    <row r="993" spans="1:20" x14ac:dyDescent="0.45">
      <c r="A993" s="11">
        <v>980</v>
      </c>
      <c r="B993" s="11">
        <f t="shared" ca="1" si="195"/>
        <v>0.46860971783341077</v>
      </c>
      <c r="C993" s="11">
        <f t="shared" ca="1" si="196"/>
        <v>1200</v>
      </c>
      <c r="D993" s="11">
        <f t="shared" ca="1" si="197"/>
        <v>0.14736503333659767</v>
      </c>
      <c r="E993" s="11">
        <f t="shared" ca="1" si="198"/>
        <v>1100</v>
      </c>
      <c r="F993" s="11">
        <f t="shared" ca="1" si="199"/>
        <v>0.2835910772109187</v>
      </c>
      <c r="G993" s="11">
        <f t="shared" ca="1" si="200"/>
        <v>1200</v>
      </c>
      <c r="H993" s="11">
        <f t="shared" ca="1" si="201"/>
        <v>1100</v>
      </c>
      <c r="I993" s="11">
        <f t="shared" ca="1" si="202"/>
        <v>0.78591654631582397</v>
      </c>
      <c r="J993" s="11">
        <f t="shared" ca="1" si="203"/>
        <v>10</v>
      </c>
      <c r="K993" s="24">
        <v>96</v>
      </c>
      <c r="L993" s="24">
        <f t="shared" ca="1" si="204"/>
        <v>100</v>
      </c>
      <c r="M993" s="24">
        <v>400</v>
      </c>
      <c r="N993" s="24">
        <v>20</v>
      </c>
      <c r="O993" s="24">
        <f t="shared" ca="1" si="205"/>
        <v>616</v>
      </c>
      <c r="P993" s="24">
        <v>1011</v>
      </c>
      <c r="Q993" s="11">
        <f t="shared" ca="1" si="206"/>
        <v>100</v>
      </c>
      <c r="R993" s="24">
        <v>200</v>
      </c>
      <c r="S993" s="24">
        <v>10</v>
      </c>
      <c r="T993" s="24">
        <f t="shared" ca="1" si="207"/>
        <v>1321</v>
      </c>
    </row>
    <row r="994" spans="1:20" x14ac:dyDescent="0.45">
      <c r="A994" s="11">
        <v>981</v>
      </c>
      <c r="B994" s="11">
        <f t="shared" ca="1" si="195"/>
        <v>0.20242041311049253</v>
      </c>
      <c r="C994" s="11">
        <f t="shared" ca="1" si="196"/>
        <v>1100</v>
      </c>
      <c r="D994" s="11">
        <f t="shared" ca="1" si="197"/>
        <v>0.82610156859260797</v>
      </c>
      <c r="E994" s="11">
        <f t="shared" ca="1" si="198"/>
        <v>1600</v>
      </c>
      <c r="F994" s="11">
        <f t="shared" ca="1" si="199"/>
        <v>0.88775416472242563</v>
      </c>
      <c r="G994" s="11">
        <f t="shared" ca="1" si="200"/>
        <v>1700</v>
      </c>
      <c r="H994" s="11">
        <f t="shared" ca="1" si="201"/>
        <v>1100</v>
      </c>
      <c r="I994" s="11">
        <f t="shared" ca="1" si="202"/>
        <v>8.4825454982756066E-2</v>
      </c>
      <c r="J994" s="11">
        <f t="shared" ca="1" si="203"/>
        <v>5</v>
      </c>
      <c r="K994" s="24">
        <v>96</v>
      </c>
      <c r="L994" s="24">
        <f t="shared" ca="1" si="204"/>
        <v>50</v>
      </c>
      <c r="M994" s="24">
        <v>400</v>
      </c>
      <c r="N994" s="24">
        <v>20</v>
      </c>
      <c r="O994" s="24">
        <f t="shared" ca="1" si="205"/>
        <v>566</v>
      </c>
      <c r="P994" s="24">
        <v>1012</v>
      </c>
      <c r="Q994" s="11">
        <f t="shared" ca="1" si="206"/>
        <v>50</v>
      </c>
      <c r="R994" s="24">
        <v>200</v>
      </c>
      <c r="S994" s="24">
        <v>10</v>
      </c>
      <c r="T994" s="24">
        <f t="shared" ca="1" si="207"/>
        <v>1272</v>
      </c>
    </row>
    <row r="995" spans="1:20" x14ac:dyDescent="0.45">
      <c r="A995" s="11">
        <v>982</v>
      </c>
      <c r="B995" s="11">
        <f t="shared" ca="1" si="195"/>
        <v>0.28037708034928932</v>
      </c>
      <c r="C995" s="11">
        <f t="shared" ca="1" si="196"/>
        <v>1200</v>
      </c>
      <c r="D995" s="11">
        <f t="shared" ca="1" si="197"/>
        <v>0.10780730627670576</v>
      </c>
      <c r="E995" s="11">
        <f t="shared" ca="1" si="198"/>
        <v>1100</v>
      </c>
      <c r="F995" s="11">
        <f t="shared" ca="1" si="199"/>
        <v>0.83014337006155614</v>
      </c>
      <c r="G995" s="11">
        <f t="shared" ca="1" si="200"/>
        <v>1600</v>
      </c>
      <c r="H995" s="11">
        <f t="shared" ca="1" si="201"/>
        <v>1100</v>
      </c>
      <c r="I995" s="11">
        <f t="shared" ca="1" si="202"/>
        <v>0.60915893408268096</v>
      </c>
      <c r="J995" s="11">
        <f t="shared" ca="1" si="203"/>
        <v>10</v>
      </c>
      <c r="K995" s="24">
        <v>96</v>
      </c>
      <c r="L995" s="24">
        <f t="shared" ca="1" si="204"/>
        <v>100</v>
      </c>
      <c r="M995" s="24">
        <v>400</v>
      </c>
      <c r="N995" s="24">
        <v>20</v>
      </c>
      <c r="O995" s="24">
        <f t="shared" ca="1" si="205"/>
        <v>616</v>
      </c>
      <c r="P995" s="24">
        <v>1013</v>
      </c>
      <c r="Q995" s="11">
        <f t="shared" ca="1" si="206"/>
        <v>100</v>
      </c>
      <c r="R995" s="24">
        <v>200</v>
      </c>
      <c r="S995" s="24">
        <v>10</v>
      </c>
      <c r="T995" s="24">
        <f t="shared" ca="1" si="207"/>
        <v>1323</v>
      </c>
    </row>
    <row r="996" spans="1:20" x14ac:dyDescent="0.45">
      <c r="A996" s="11">
        <v>983</v>
      </c>
      <c r="B996" s="11">
        <f t="shared" ca="1" si="195"/>
        <v>0.10285808594993984</v>
      </c>
      <c r="C996" s="11">
        <f t="shared" ca="1" si="196"/>
        <v>1100</v>
      </c>
      <c r="D996" s="11">
        <f t="shared" ca="1" si="197"/>
        <v>0.83779075071552522</v>
      </c>
      <c r="E996" s="11">
        <f t="shared" ca="1" si="198"/>
        <v>1600</v>
      </c>
      <c r="F996" s="11">
        <f t="shared" ca="1" si="199"/>
        <v>0.82861468216289336</v>
      </c>
      <c r="G996" s="11">
        <f t="shared" ca="1" si="200"/>
        <v>1600</v>
      </c>
      <c r="H996" s="11">
        <f t="shared" ca="1" si="201"/>
        <v>1100</v>
      </c>
      <c r="I996" s="11">
        <f t="shared" ca="1" si="202"/>
        <v>0.16063674430654484</v>
      </c>
      <c r="J996" s="11">
        <f t="shared" ca="1" si="203"/>
        <v>5</v>
      </c>
      <c r="K996" s="24">
        <v>96</v>
      </c>
      <c r="L996" s="24">
        <f t="shared" ca="1" si="204"/>
        <v>50</v>
      </c>
      <c r="M996" s="24">
        <v>400</v>
      </c>
      <c r="N996" s="24">
        <v>20</v>
      </c>
      <c r="O996" s="24">
        <f t="shared" ca="1" si="205"/>
        <v>566</v>
      </c>
      <c r="P996" s="24">
        <v>1014</v>
      </c>
      <c r="Q996" s="11">
        <f t="shared" ca="1" si="206"/>
        <v>50</v>
      </c>
      <c r="R996" s="24">
        <v>200</v>
      </c>
      <c r="S996" s="24">
        <v>10</v>
      </c>
      <c r="T996" s="24">
        <f t="shared" ca="1" si="207"/>
        <v>1274</v>
      </c>
    </row>
    <row r="997" spans="1:20" x14ac:dyDescent="0.45">
      <c r="A997" s="11">
        <v>984</v>
      </c>
      <c r="B997" s="11">
        <f t="shared" ca="1" si="195"/>
        <v>0.28792374013224875</v>
      </c>
      <c r="C997" s="11">
        <f t="shared" ca="1" si="196"/>
        <v>1200</v>
      </c>
      <c r="D997" s="11">
        <f t="shared" ca="1" si="197"/>
        <v>0.46255213034628984</v>
      </c>
      <c r="E997" s="11">
        <f t="shared" ca="1" si="198"/>
        <v>1200</v>
      </c>
      <c r="F997" s="11">
        <f t="shared" ca="1" si="199"/>
        <v>0.57182469431316729</v>
      </c>
      <c r="G997" s="11">
        <f t="shared" ca="1" si="200"/>
        <v>1300</v>
      </c>
      <c r="H997" s="11">
        <f t="shared" ca="1" si="201"/>
        <v>1200</v>
      </c>
      <c r="I997" s="11">
        <f t="shared" ca="1" si="202"/>
        <v>0.8757107842482531</v>
      </c>
      <c r="J997" s="11">
        <f t="shared" ca="1" si="203"/>
        <v>10</v>
      </c>
      <c r="K997" s="24">
        <v>96</v>
      </c>
      <c r="L997" s="24">
        <f t="shared" ca="1" si="204"/>
        <v>100</v>
      </c>
      <c r="M997" s="24">
        <v>400</v>
      </c>
      <c r="N997" s="24">
        <v>20</v>
      </c>
      <c r="O997" s="24">
        <f t="shared" ca="1" si="205"/>
        <v>616</v>
      </c>
      <c r="P997" s="24">
        <v>1015</v>
      </c>
      <c r="Q997" s="11">
        <f t="shared" ca="1" si="206"/>
        <v>100</v>
      </c>
      <c r="R997" s="24">
        <v>200</v>
      </c>
      <c r="S997" s="24">
        <v>10</v>
      </c>
      <c r="T997" s="24">
        <f t="shared" ca="1" si="207"/>
        <v>1325</v>
      </c>
    </row>
    <row r="998" spans="1:20" x14ac:dyDescent="0.45">
      <c r="A998" s="11">
        <v>985</v>
      </c>
      <c r="B998" s="11">
        <f t="shared" ca="1" si="195"/>
        <v>0.63143067498606076</v>
      </c>
      <c r="C998" s="11">
        <f t="shared" ca="1" si="196"/>
        <v>1400</v>
      </c>
      <c r="D998" s="11">
        <f t="shared" ca="1" si="197"/>
        <v>0.28214804387292769</v>
      </c>
      <c r="E998" s="11">
        <f t="shared" ca="1" si="198"/>
        <v>1200</v>
      </c>
      <c r="F998" s="11">
        <f t="shared" ca="1" si="199"/>
        <v>0.96394097681641322</v>
      </c>
      <c r="G998" s="11">
        <f t="shared" ca="1" si="200"/>
        <v>1900</v>
      </c>
      <c r="H998" s="11">
        <f t="shared" ca="1" si="201"/>
        <v>1200</v>
      </c>
      <c r="I998" s="11">
        <f t="shared" ca="1" si="202"/>
        <v>0.79523039839949128</v>
      </c>
      <c r="J998" s="11">
        <f t="shared" ca="1" si="203"/>
        <v>10</v>
      </c>
      <c r="K998" s="24">
        <v>96</v>
      </c>
      <c r="L998" s="24">
        <f t="shared" ca="1" si="204"/>
        <v>100</v>
      </c>
      <c r="M998" s="24">
        <v>400</v>
      </c>
      <c r="N998" s="24">
        <v>20</v>
      </c>
      <c r="O998" s="24">
        <f t="shared" ca="1" si="205"/>
        <v>616</v>
      </c>
      <c r="P998" s="24">
        <v>1016</v>
      </c>
      <c r="Q998" s="11">
        <f t="shared" ca="1" si="206"/>
        <v>100</v>
      </c>
      <c r="R998" s="24">
        <v>200</v>
      </c>
      <c r="S998" s="24">
        <v>10</v>
      </c>
      <c r="T998" s="24">
        <f t="shared" ca="1" si="207"/>
        <v>1326</v>
      </c>
    </row>
    <row r="999" spans="1:20" x14ac:dyDescent="0.45">
      <c r="A999" s="11">
        <v>986</v>
      </c>
      <c r="B999" s="11">
        <f t="shared" ca="1" si="195"/>
        <v>0.62224851755858079</v>
      </c>
      <c r="C999" s="11">
        <f t="shared" ca="1" si="196"/>
        <v>1400</v>
      </c>
      <c r="D999" s="11">
        <f t="shared" ca="1" si="197"/>
        <v>0.40326444842104958</v>
      </c>
      <c r="E999" s="11">
        <f t="shared" ca="1" si="198"/>
        <v>1200</v>
      </c>
      <c r="F999" s="11">
        <f t="shared" ca="1" si="199"/>
        <v>0.48076334577068802</v>
      </c>
      <c r="G999" s="11">
        <f t="shared" ca="1" si="200"/>
        <v>1300</v>
      </c>
      <c r="H999" s="11">
        <f t="shared" ca="1" si="201"/>
        <v>1200</v>
      </c>
      <c r="I999" s="11">
        <f t="shared" ca="1" si="202"/>
        <v>0.70945174156672508</v>
      </c>
      <c r="J999" s="11">
        <f t="shared" ca="1" si="203"/>
        <v>10</v>
      </c>
      <c r="K999" s="24">
        <v>96</v>
      </c>
      <c r="L999" s="24">
        <f t="shared" ca="1" si="204"/>
        <v>100</v>
      </c>
      <c r="M999" s="24">
        <v>400</v>
      </c>
      <c r="N999" s="24">
        <v>20</v>
      </c>
      <c r="O999" s="24">
        <f t="shared" ca="1" si="205"/>
        <v>616</v>
      </c>
      <c r="P999" s="24">
        <v>1017</v>
      </c>
      <c r="Q999" s="11">
        <f t="shared" ca="1" si="206"/>
        <v>100</v>
      </c>
      <c r="R999" s="24">
        <v>200</v>
      </c>
      <c r="S999" s="24">
        <v>10</v>
      </c>
      <c r="T999" s="24">
        <f t="shared" ca="1" si="207"/>
        <v>1327</v>
      </c>
    </row>
    <row r="1000" spans="1:20" x14ac:dyDescent="0.45">
      <c r="A1000" s="11">
        <v>987</v>
      </c>
      <c r="B1000" s="11">
        <f t="shared" ca="1" si="195"/>
        <v>0.21954419634373057</v>
      </c>
      <c r="C1000" s="11">
        <f t="shared" ca="1" si="196"/>
        <v>1100</v>
      </c>
      <c r="D1000" s="11">
        <f t="shared" ca="1" si="197"/>
        <v>0.87112738422910341</v>
      </c>
      <c r="E1000" s="11">
        <f t="shared" ca="1" si="198"/>
        <v>1700</v>
      </c>
      <c r="F1000" s="11">
        <f t="shared" ca="1" si="199"/>
        <v>0.35959142600616201</v>
      </c>
      <c r="G1000" s="11">
        <f t="shared" ca="1" si="200"/>
        <v>1200</v>
      </c>
      <c r="H1000" s="11">
        <f t="shared" ca="1" si="201"/>
        <v>1100</v>
      </c>
      <c r="I1000" s="11">
        <f t="shared" ca="1" si="202"/>
        <v>0.91362944053910644</v>
      </c>
      <c r="J1000" s="11">
        <f t="shared" ca="1" si="203"/>
        <v>15</v>
      </c>
      <c r="K1000" s="24">
        <v>96</v>
      </c>
      <c r="L1000" s="24">
        <f t="shared" ca="1" si="204"/>
        <v>150</v>
      </c>
      <c r="M1000" s="24">
        <v>400</v>
      </c>
      <c r="N1000" s="24">
        <v>20</v>
      </c>
      <c r="O1000" s="24">
        <f t="shared" ca="1" si="205"/>
        <v>666</v>
      </c>
      <c r="P1000" s="24">
        <v>1018</v>
      </c>
      <c r="Q1000" s="11">
        <f t="shared" ca="1" si="206"/>
        <v>150</v>
      </c>
      <c r="R1000" s="24">
        <v>200</v>
      </c>
      <c r="S1000" s="24">
        <v>10</v>
      </c>
      <c r="T1000" s="24">
        <f t="shared" ca="1" si="207"/>
        <v>1378</v>
      </c>
    </row>
    <row r="1001" spans="1:20" x14ac:dyDescent="0.45">
      <c r="A1001" s="11">
        <v>988</v>
      </c>
      <c r="B1001" s="11">
        <f t="shared" ca="1" si="195"/>
        <v>0.66047171261207083</v>
      </c>
      <c r="C1001" s="11">
        <f t="shared" ca="1" si="196"/>
        <v>1400</v>
      </c>
      <c r="D1001" s="11">
        <f t="shared" ca="1" si="197"/>
        <v>0.13727448209532234</v>
      </c>
      <c r="E1001" s="11">
        <f t="shared" ca="1" si="198"/>
        <v>1100</v>
      </c>
      <c r="F1001" s="11">
        <f t="shared" ca="1" si="199"/>
        <v>0.75375305970417139</v>
      </c>
      <c r="G1001" s="11">
        <f t="shared" ca="1" si="200"/>
        <v>1500</v>
      </c>
      <c r="H1001" s="11">
        <f t="shared" ca="1" si="201"/>
        <v>1100</v>
      </c>
      <c r="I1001" s="11">
        <f t="shared" ca="1" si="202"/>
        <v>0.93153294249226393</v>
      </c>
      <c r="J1001" s="11">
        <f t="shared" ca="1" si="203"/>
        <v>15</v>
      </c>
      <c r="K1001" s="24">
        <v>96</v>
      </c>
      <c r="L1001" s="24">
        <f t="shared" ca="1" si="204"/>
        <v>150</v>
      </c>
      <c r="M1001" s="24">
        <v>400</v>
      </c>
      <c r="N1001" s="24">
        <v>20</v>
      </c>
      <c r="O1001" s="24">
        <f t="shared" ca="1" si="205"/>
        <v>666</v>
      </c>
      <c r="P1001" s="24">
        <v>1019</v>
      </c>
      <c r="Q1001" s="11">
        <f t="shared" ca="1" si="206"/>
        <v>150</v>
      </c>
      <c r="R1001" s="24">
        <v>200</v>
      </c>
      <c r="S1001" s="24">
        <v>10</v>
      </c>
      <c r="T1001" s="24">
        <f t="shared" ca="1" si="207"/>
        <v>1379</v>
      </c>
    </row>
    <row r="1002" spans="1:20" x14ac:dyDescent="0.45">
      <c r="A1002" s="11">
        <v>989</v>
      </c>
      <c r="B1002" s="11">
        <f t="shared" ca="1" si="195"/>
        <v>0.96365556269879094</v>
      </c>
      <c r="C1002" s="11">
        <f t="shared" ca="1" si="196"/>
        <v>1900</v>
      </c>
      <c r="D1002" s="11">
        <f t="shared" ca="1" si="197"/>
        <v>0.25988598352431669</v>
      </c>
      <c r="E1002" s="11">
        <f t="shared" ca="1" si="198"/>
        <v>1200</v>
      </c>
      <c r="F1002" s="11">
        <f t="shared" ca="1" si="199"/>
        <v>0.93631084371785878</v>
      </c>
      <c r="G1002" s="11">
        <f t="shared" ca="1" si="200"/>
        <v>1800</v>
      </c>
      <c r="H1002" s="11">
        <f t="shared" ca="1" si="201"/>
        <v>1200</v>
      </c>
      <c r="I1002" s="11">
        <f t="shared" ca="1" si="202"/>
        <v>0.75807473973266071</v>
      </c>
      <c r="J1002" s="11">
        <f t="shared" ca="1" si="203"/>
        <v>10</v>
      </c>
      <c r="K1002" s="24">
        <v>96</v>
      </c>
      <c r="L1002" s="24">
        <f t="shared" ca="1" si="204"/>
        <v>100</v>
      </c>
      <c r="M1002" s="24">
        <v>400</v>
      </c>
      <c r="N1002" s="24">
        <v>20</v>
      </c>
      <c r="O1002" s="24">
        <f t="shared" ca="1" si="205"/>
        <v>616</v>
      </c>
      <c r="P1002" s="24">
        <v>1020</v>
      </c>
      <c r="Q1002" s="11">
        <f t="shared" ca="1" si="206"/>
        <v>100</v>
      </c>
      <c r="R1002" s="24">
        <v>200</v>
      </c>
      <c r="S1002" s="24">
        <v>10</v>
      </c>
      <c r="T1002" s="24">
        <f t="shared" ca="1" si="207"/>
        <v>1330</v>
      </c>
    </row>
    <row r="1003" spans="1:20" x14ac:dyDescent="0.45">
      <c r="A1003" s="11">
        <v>990</v>
      </c>
      <c r="B1003" s="11">
        <f t="shared" ca="1" si="195"/>
        <v>0.89512412814651976</v>
      </c>
      <c r="C1003" s="11">
        <f t="shared" ca="1" si="196"/>
        <v>1700</v>
      </c>
      <c r="D1003" s="11">
        <f t="shared" ca="1" si="197"/>
        <v>0.66998903563037759</v>
      </c>
      <c r="E1003" s="11">
        <f t="shared" ca="1" si="198"/>
        <v>1400</v>
      </c>
      <c r="F1003" s="11">
        <f t="shared" ca="1" si="199"/>
        <v>5.1316259594940794E-2</v>
      </c>
      <c r="G1003" s="11">
        <f t="shared" ca="1" si="200"/>
        <v>1000</v>
      </c>
      <c r="H1003" s="11">
        <f t="shared" ca="1" si="201"/>
        <v>1000</v>
      </c>
      <c r="I1003" s="11">
        <f t="shared" ca="1" si="202"/>
        <v>0.45838628637588474</v>
      </c>
      <c r="J1003" s="11">
        <f t="shared" ca="1" si="203"/>
        <v>5</v>
      </c>
      <c r="K1003" s="24">
        <v>96</v>
      </c>
      <c r="L1003" s="24">
        <f t="shared" ca="1" si="204"/>
        <v>50</v>
      </c>
      <c r="M1003" s="24">
        <v>400</v>
      </c>
      <c r="N1003" s="24">
        <v>20</v>
      </c>
      <c r="O1003" s="24">
        <f t="shared" ca="1" si="205"/>
        <v>566</v>
      </c>
      <c r="P1003" s="24">
        <v>1021</v>
      </c>
      <c r="Q1003" s="11">
        <f t="shared" ca="1" si="206"/>
        <v>50</v>
      </c>
      <c r="R1003" s="24">
        <v>200</v>
      </c>
      <c r="S1003" s="24">
        <v>10</v>
      </c>
      <c r="T1003" s="24">
        <f t="shared" ca="1" si="207"/>
        <v>1281</v>
      </c>
    </row>
    <row r="1004" spans="1:20" x14ac:dyDescent="0.45">
      <c r="A1004" s="11">
        <v>991</v>
      </c>
      <c r="B1004" s="11">
        <f t="shared" ca="1" si="195"/>
        <v>0.76846674864766984</v>
      </c>
      <c r="C1004" s="11">
        <f t="shared" ca="1" si="196"/>
        <v>1500</v>
      </c>
      <c r="D1004" s="11">
        <f t="shared" ca="1" si="197"/>
        <v>0.35457904238573112</v>
      </c>
      <c r="E1004" s="11">
        <f t="shared" ca="1" si="198"/>
        <v>1200</v>
      </c>
      <c r="F1004" s="11">
        <f t="shared" ca="1" si="199"/>
        <v>0.30996391742142582</v>
      </c>
      <c r="G1004" s="11">
        <f t="shared" ca="1" si="200"/>
        <v>1200</v>
      </c>
      <c r="H1004" s="11">
        <f t="shared" ca="1" si="201"/>
        <v>1200</v>
      </c>
      <c r="I1004" s="11">
        <f t="shared" ca="1" si="202"/>
        <v>0.69344084060043643</v>
      </c>
      <c r="J1004" s="11">
        <f t="shared" ca="1" si="203"/>
        <v>10</v>
      </c>
      <c r="K1004" s="24">
        <v>96</v>
      </c>
      <c r="L1004" s="24">
        <f t="shared" ca="1" si="204"/>
        <v>100</v>
      </c>
      <c r="M1004" s="24">
        <v>400</v>
      </c>
      <c r="N1004" s="24">
        <v>20</v>
      </c>
      <c r="O1004" s="24">
        <f t="shared" ca="1" si="205"/>
        <v>616</v>
      </c>
      <c r="P1004" s="24">
        <v>1022</v>
      </c>
      <c r="Q1004" s="11">
        <f t="shared" ca="1" si="206"/>
        <v>100</v>
      </c>
      <c r="R1004" s="24">
        <v>200</v>
      </c>
      <c r="S1004" s="24">
        <v>10</v>
      </c>
      <c r="T1004" s="24">
        <f t="shared" ca="1" si="207"/>
        <v>1332</v>
      </c>
    </row>
    <row r="1005" spans="1:20" x14ac:dyDescent="0.45">
      <c r="A1005" s="11">
        <v>992</v>
      </c>
      <c r="B1005" s="11">
        <f t="shared" ca="1" si="195"/>
        <v>0.35830091293984967</v>
      </c>
      <c r="C1005" s="11">
        <f t="shared" ca="1" si="196"/>
        <v>1200</v>
      </c>
      <c r="D1005" s="11">
        <f t="shared" ca="1" si="197"/>
        <v>0.41014694441875366</v>
      </c>
      <c r="E1005" s="11">
        <f t="shared" ca="1" si="198"/>
        <v>1200</v>
      </c>
      <c r="F1005" s="11">
        <f t="shared" ca="1" si="199"/>
        <v>0.91957706269244377</v>
      </c>
      <c r="G1005" s="11">
        <f t="shared" ca="1" si="200"/>
        <v>1800</v>
      </c>
      <c r="H1005" s="11">
        <f t="shared" ca="1" si="201"/>
        <v>1200</v>
      </c>
      <c r="I1005" s="11">
        <f t="shared" ca="1" si="202"/>
        <v>0.57901126228879707</v>
      </c>
      <c r="J1005" s="11">
        <f t="shared" ca="1" si="203"/>
        <v>5</v>
      </c>
      <c r="K1005" s="24">
        <v>96</v>
      </c>
      <c r="L1005" s="24">
        <f t="shared" ca="1" si="204"/>
        <v>50</v>
      </c>
      <c r="M1005" s="24">
        <v>400</v>
      </c>
      <c r="N1005" s="24">
        <v>20</v>
      </c>
      <c r="O1005" s="24">
        <f t="shared" ca="1" si="205"/>
        <v>566</v>
      </c>
      <c r="P1005" s="24">
        <v>1023</v>
      </c>
      <c r="Q1005" s="11">
        <f t="shared" ca="1" si="206"/>
        <v>50</v>
      </c>
      <c r="R1005" s="24">
        <v>200</v>
      </c>
      <c r="S1005" s="24">
        <v>10</v>
      </c>
      <c r="T1005" s="24">
        <f t="shared" ca="1" si="207"/>
        <v>1283</v>
      </c>
    </row>
    <row r="1006" spans="1:20" x14ac:dyDescent="0.45">
      <c r="A1006" s="11">
        <v>993</v>
      </c>
      <c r="B1006" s="11">
        <f t="shared" ca="1" si="195"/>
        <v>0.66499193069981155</v>
      </c>
      <c r="C1006" s="11">
        <f t="shared" ca="1" si="196"/>
        <v>1400</v>
      </c>
      <c r="D1006" s="11">
        <f t="shared" ca="1" si="197"/>
        <v>0.30679213379496206</v>
      </c>
      <c r="E1006" s="11">
        <f t="shared" ca="1" si="198"/>
        <v>1200</v>
      </c>
      <c r="F1006" s="11">
        <f t="shared" ca="1" si="199"/>
        <v>0.70254092253907008</v>
      </c>
      <c r="G1006" s="11">
        <f t="shared" ca="1" si="200"/>
        <v>1500</v>
      </c>
      <c r="H1006" s="11">
        <f t="shared" ca="1" si="201"/>
        <v>1200</v>
      </c>
      <c r="I1006" s="11">
        <f t="shared" ca="1" si="202"/>
        <v>0.84716996161793279</v>
      </c>
      <c r="J1006" s="11">
        <f t="shared" ca="1" si="203"/>
        <v>10</v>
      </c>
      <c r="K1006" s="24">
        <v>96</v>
      </c>
      <c r="L1006" s="24">
        <f t="shared" ca="1" si="204"/>
        <v>100</v>
      </c>
      <c r="M1006" s="24">
        <v>400</v>
      </c>
      <c r="N1006" s="24">
        <v>20</v>
      </c>
      <c r="O1006" s="24">
        <f t="shared" ca="1" si="205"/>
        <v>616</v>
      </c>
      <c r="P1006" s="24">
        <v>1024</v>
      </c>
      <c r="Q1006" s="11">
        <f t="shared" ca="1" si="206"/>
        <v>100</v>
      </c>
      <c r="R1006" s="24">
        <v>200</v>
      </c>
      <c r="S1006" s="24">
        <v>10</v>
      </c>
      <c r="T1006" s="24">
        <f t="shared" ca="1" si="207"/>
        <v>1334</v>
      </c>
    </row>
    <row r="1007" spans="1:20" x14ac:dyDescent="0.45">
      <c r="A1007" s="11">
        <v>994</v>
      </c>
      <c r="B1007" s="11">
        <f t="shared" ca="1" si="195"/>
        <v>0.77109130961557792</v>
      </c>
      <c r="C1007" s="11">
        <f t="shared" ca="1" si="196"/>
        <v>1500</v>
      </c>
      <c r="D1007" s="11">
        <f t="shared" ca="1" si="197"/>
        <v>0.51941145732275129</v>
      </c>
      <c r="E1007" s="11">
        <f t="shared" ca="1" si="198"/>
        <v>1300</v>
      </c>
      <c r="F1007" s="11">
        <f t="shared" ca="1" si="199"/>
        <v>0.39700690917004477</v>
      </c>
      <c r="G1007" s="11">
        <f t="shared" ca="1" si="200"/>
        <v>1200</v>
      </c>
      <c r="H1007" s="11">
        <f t="shared" ca="1" si="201"/>
        <v>1200</v>
      </c>
      <c r="I1007" s="11">
        <f t="shared" ca="1" si="202"/>
        <v>0.52059787228692489</v>
      </c>
      <c r="J1007" s="11">
        <f t="shared" ca="1" si="203"/>
        <v>5</v>
      </c>
      <c r="K1007" s="24">
        <v>96</v>
      </c>
      <c r="L1007" s="24">
        <f t="shared" ca="1" si="204"/>
        <v>50</v>
      </c>
      <c r="M1007" s="24">
        <v>400</v>
      </c>
      <c r="N1007" s="24">
        <v>20</v>
      </c>
      <c r="O1007" s="24">
        <f t="shared" ca="1" si="205"/>
        <v>566</v>
      </c>
      <c r="P1007" s="24">
        <v>1025</v>
      </c>
      <c r="Q1007" s="11">
        <f t="shared" ca="1" si="206"/>
        <v>50</v>
      </c>
      <c r="R1007" s="24">
        <v>200</v>
      </c>
      <c r="S1007" s="24">
        <v>10</v>
      </c>
      <c r="T1007" s="24">
        <f t="shared" ca="1" si="207"/>
        <v>1285</v>
      </c>
    </row>
    <row r="1008" spans="1:20" x14ac:dyDescent="0.45">
      <c r="A1008" s="11">
        <v>995</v>
      </c>
      <c r="B1008" s="11">
        <f t="shared" ca="1" si="195"/>
        <v>0.4661585277147231</v>
      </c>
      <c r="C1008" s="11">
        <f t="shared" ca="1" si="196"/>
        <v>1200</v>
      </c>
      <c r="D1008" s="11">
        <f t="shared" ca="1" si="197"/>
        <v>0.39620472826271524</v>
      </c>
      <c r="E1008" s="11">
        <f t="shared" ca="1" si="198"/>
        <v>1200</v>
      </c>
      <c r="F1008" s="11">
        <f t="shared" ca="1" si="199"/>
        <v>0.59864522578605273</v>
      </c>
      <c r="G1008" s="11">
        <f t="shared" ca="1" si="200"/>
        <v>1300</v>
      </c>
      <c r="H1008" s="11">
        <f t="shared" ca="1" si="201"/>
        <v>1200</v>
      </c>
      <c r="I1008" s="11">
        <f t="shared" ca="1" si="202"/>
        <v>0.90554516183880851</v>
      </c>
      <c r="J1008" s="11">
        <f t="shared" ca="1" si="203"/>
        <v>15</v>
      </c>
      <c r="K1008" s="24">
        <v>96</v>
      </c>
      <c r="L1008" s="24">
        <f t="shared" ca="1" si="204"/>
        <v>150</v>
      </c>
      <c r="M1008" s="24">
        <v>400</v>
      </c>
      <c r="N1008" s="24">
        <v>20</v>
      </c>
      <c r="O1008" s="24">
        <f t="shared" ca="1" si="205"/>
        <v>666</v>
      </c>
      <c r="P1008" s="24">
        <v>1026</v>
      </c>
      <c r="Q1008" s="11">
        <f t="shared" ca="1" si="206"/>
        <v>150</v>
      </c>
      <c r="R1008" s="24">
        <v>200</v>
      </c>
      <c r="S1008" s="24">
        <v>10</v>
      </c>
      <c r="T1008" s="24">
        <f t="shared" ca="1" si="207"/>
        <v>1386</v>
      </c>
    </row>
    <row r="1009" spans="1:20" x14ac:dyDescent="0.45">
      <c r="A1009" s="11">
        <v>996</v>
      </c>
      <c r="B1009" s="11">
        <f t="shared" ca="1" si="195"/>
        <v>0.15391548966615942</v>
      </c>
      <c r="C1009" s="11">
        <f t="shared" ca="1" si="196"/>
        <v>1100</v>
      </c>
      <c r="D1009" s="11">
        <f t="shared" ca="1" si="197"/>
        <v>0.37424411762383303</v>
      </c>
      <c r="E1009" s="11">
        <f t="shared" ca="1" si="198"/>
        <v>1200</v>
      </c>
      <c r="F1009" s="11">
        <f t="shared" ca="1" si="199"/>
        <v>0.97209988734069575</v>
      </c>
      <c r="G1009" s="11">
        <f t="shared" ca="1" si="200"/>
        <v>1900</v>
      </c>
      <c r="H1009" s="11">
        <f t="shared" ca="1" si="201"/>
        <v>1100</v>
      </c>
      <c r="I1009" s="11">
        <f t="shared" ca="1" si="202"/>
        <v>0.69874981541680503</v>
      </c>
      <c r="J1009" s="11">
        <f t="shared" ca="1" si="203"/>
        <v>10</v>
      </c>
      <c r="K1009" s="24">
        <v>96</v>
      </c>
      <c r="L1009" s="24">
        <f t="shared" ca="1" si="204"/>
        <v>100</v>
      </c>
      <c r="M1009" s="24">
        <v>400</v>
      </c>
      <c r="N1009" s="24">
        <v>20</v>
      </c>
      <c r="O1009" s="24">
        <f t="shared" ca="1" si="205"/>
        <v>616</v>
      </c>
      <c r="P1009" s="24">
        <v>1027</v>
      </c>
      <c r="Q1009" s="11">
        <f t="shared" ca="1" si="206"/>
        <v>100</v>
      </c>
      <c r="R1009" s="24">
        <v>200</v>
      </c>
      <c r="S1009" s="24">
        <v>10</v>
      </c>
      <c r="T1009" s="24">
        <f t="shared" ca="1" si="207"/>
        <v>1337</v>
      </c>
    </row>
    <row r="1010" spans="1:20" x14ac:dyDescent="0.45">
      <c r="A1010" s="11">
        <v>997</v>
      </c>
      <c r="B1010" s="11">
        <f t="shared" ca="1" si="195"/>
        <v>0.71258065008012839</v>
      </c>
      <c r="C1010" s="11">
        <f t="shared" ca="1" si="196"/>
        <v>1500</v>
      </c>
      <c r="D1010" s="11">
        <f t="shared" ca="1" si="197"/>
        <v>0.27458682565148995</v>
      </c>
      <c r="E1010" s="11">
        <f t="shared" ca="1" si="198"/>
        <v>1200</v>
      </c>
      <c r="F1010" s="11">
        <f t="shared" ca="1" si="199"/>
        <v>0.75610417822642351</v>
      </c>
      <c r="G1010" s="11">
        <f t="shared" ca="1" si="200"/>
        <v>1500</v>
      </c>
      <c r="H1010" s="11">
        <f t="shared" ca="1" si="201"/>
        <v>1200</v>
      </c>
      <c r="I1010" s="11">
        <f t="shared" ca="1" si="202"/>
        <v>0.45673309776909821</v>
      </c>
      <c r="J1010" s="11">
        <f t="shared" ca="1" si="203"/>
        <v>5</v>
      </c>
      <c r="K1010" s="24">
        <v>96</v>
      </c>
      <c r="L1010" s="24">
        <f t="shared" ca="1" si="204"/>
        <v>50</v>
      </c>
      <c r="M1010" s="24">
        <v>400</v>
      </c>
      <c r="N1010" s="24">
        <v>20</v>
      </c>
      <c r="O1010" s="24">
        <f t="shared" ca="1" si="205"/>
        <v>566</v>
      </c>
      <c r="P1010" s="24">
        <v>1028</v>
      </c>
      <c r="Q1010" s="11">
        <f t="shared" ca="1" si="206"/>
        <v>50</v>
      </c>
      <c r="R1010" s="24">
        <v>200</v>
      </c>
      <c r="S1010" s="24">
        <v>10</v>
      </c>
      <c r="T1010" s="24">
        <f t="shared" ca="1" si="207"/>
        <v>1288</v>
      </c>
    </row>
    <row r="1011" spans="1:20" x14ac:dyDescent="0.45">
      <c r="A1011" s="11">
        <v>998</v>
      </c>
      <c r="B1011" s="11">
        <f t="shared" ca="1" si="195"/>
        <v>0.62350183516319813</v>
      </c>
      <c r="C1011" s="11">
        <f t="shared" ca="1" si="196"/>
        <v>1400</v>
      </c>
      <c r="D1011" s="11">
        <f t="shared" ca="1" si="197"/>
        <v>0.3619873263944583</v>
      </c>
      <c r="E1011" s="11">
        <f t="shared" ca="1" si="198"/>
        <v>1200</v>
      </c>
      <c r="F1011" s="11">
        <f t="shared" ca="1" si="199"/>
        <v>0.99915408733961741</v>
      </c>
      <c r="G1011" s="11">
        <f t="shared" ca="1" si="200"/>
        <v>1900</v>
      </c>
      <c r="H1011" s="11">
        <f t="shared" ca="1" si="201"/>
        <v>1200</v>
      </c>
      <c r="I1011" s="11">
        <f t="shared" ca="1" si="202"/>
        <v>0.52915043326492439</v>
      </c>
      <c r="J1011" s="11">
        <f t="shared" ca="1" si="203"/>
        <v>5</v>
      </c>
      <c r="K1011" s="24">
        <v>96</v>
      </c>
      <c r="L1011" s="24">
        <f t="shared" ca="1" si="204"/>
        <v>50</v>
      </c>
      <c r="M1011" s="24">
        <v>400</v>
      </c>
      <c r="N1011" s="24">
        <v>20</v>
      </c>
      <c r="O1011" s="24">
        <f t="shared" ca="1" si="205"/>
        <v>566</v>
      </c>
      <c r="P1011" s="24">
        <v>1029</v>
      </c>
      <c r="Q1011" s="11">
        <f t="shared" ca="1" si="206"/>
        <v>50</v>
      </c>
      <c r="R1011" s="24">
        <v>200</v>
      </c>
      <c r="S1011" s="24">
        <v>10</v>
      </c>
      <c r="T1011" s="24">
        <f t="shared" ca="1" si="207"/>
        <v>1289</v>
      </c>
    </row>
    <row r="1012" spans="1:20" x14ac:dyDescent="0.45">
      <c r="A1012" s="11">
        <v>999</v>
      </c>
      <c r="B1012" s="11">
        <f t="shared" ca="1" si="195"/>
        <v>3.7592257204107749E-2</v>
      </c>
      <c r="C1012" s="11">
        <f t="shared" ca="1" si="196"/>
        <v>1000</v>
      </c>
      <c r="D1012" s="11">
        <f t="shared" ca="1" si="197"/>
        <v>0.13050478052282033</v>
      </c>
      <c r="E1012" s="11">
        <f t="shared" ca="1" si="198"/>
        <v>1100</v>
      </c>
      <c r="F1012" s="11">
        <f t="shared" ca="1" si="199"/>
        <v>0.59765931291831897</v>
      </c>
      <c r="G1012" s="11">
        <f t="shared" ca="1" si="200"/>
        <v>1300</v>
      </c>
      <c r="H1012" s="11">
        <f t="shared" ca="1" si="201"/>
        <v>1000</v>
      </c>
      <c r="I1012" s="11">
        <f t="shared" ca="1" si="202"/>
        <v>0.11743824162637728</v>
      </c>
      <c r="J1012" s="11">
        <f t="shared" ca="1" si="203"/>
        <v>5</v>
      </c>
      <c r="K1012" s="24">
        <v>96</v>
      </c>
      <c r="L1012" s="24">
        <f t="shared" ca="1" si="204"/>
        <v>50</v>
      </c>
      <c r="M1012" s="24">
        <v>400</v>
      </c>
      <c r="N1012" s="24">
        <v>20</v>
      </c>
      <c r="O1012" s="24">
        <f t="shared" ca="1" si="205"/>
        <v>566</v>
      </c>
      <c r="P1012" s="24">
        <v>1030</v>
      </c>
      <c r="Q1012" s="11">
        <f t="shared" ca="1" si="206"/>
        <v>50</v>
      </c>
      <c r="R1012" s="24">
        <v>200</v>
      </c>
      <c r="S1012" s="24">
        <v>10</v>
      </c>
      <c r="T1012" s="24">
        <f t="shared" ca="1" si="207"/>
        <v>1290</v>
      </c>
    </row>
    <row r="1013" spans="1:20" x14ac:dyDescent="0.45">
      <c r="A1013" s="11">
        <v>1000</v>
      </c>
      <c r="B1013" s="11">
        <f t="shared" ca="1" si="195"/>
        <v>0.9411864640009191</v>
      </c>
      <c r="C1013" s="11">
        <f t="shared" ca="1" si="196"/>
        <v>1800</v>
      </c>
      <c r="D1013" s="11">
        <f t="shared" ca="1" si="197"/>
        <v>0.25352701853014059</v>
      </c>
      <c r="E1013" s="11">
        <f t="shared" ca="1" si="198"/>
        <v>1200</v>
      </c>
      <c r="F1013" s="11">
        <f t="shared" ca="1" si="199"/>
        <v>0.66204784471771594</v>
      </c>
      <c r="G1013" s="11">
        <f t="shared" ca="1" si="200"/>
        <v>1400</v>
      </c>
      <c r="H1013" s="11">
        <f t="shared" ca="1" si="201"/>
        <v>1200</v>
      </c>
      <c r="I1013" s="11">
        <f t="shared" ca="1" si="202"/>
        <v>0.23102770910292791</v>
      </c>
      <c r="J1013" s="11">
        <f t="shared" ca="1" si="203"/>
        <v>5</v>
      </c>
      <c r="K1013" s="24">
        <v>96</v>
      </c>
      <c r="L1013" s="24">
        <f t="shared" ca="1" si="204"/>
        <v>50</v>
      </c>
      <c r="M1013" s="24">
        <v>400</v>
      </c>
      <c r="N1013" s="24">
        <v>20</v>
      </c>
      <c r="O1013" s="24">
        <f t="shared" ca="1" si="205"/>
        <v>566</v>
      </c>
      <c r="P1013" s="24">
        <v>1031</v>
      </c>
      <c r="Q1013" s="11">
        <f t="shared" ca="1" si="206"/>
        <v>50</v>
      </c>
      <c r="R1013" s="24">
        <v>200</v>
      </c>
      <c r="S1013" s="24">
        <v>10</v>
      </c>
      <c r="T1013" s="24">
        <f t="shared" ca="1" si="207"/>
        <v>1291</v>
      </c>
    </row>
    <row r="1014" spans="1:20" x14ac:dyDescent="0.45">
      <c r="C1014" s="11">
        <f ca="1">SUM(C14:C1013)</f>
        <v>1331900</v>
      </c>
      <c r="D1014" s="11"/>
      <c r="E1014" s="11">
        <f ca="1">SUM(E14:E1013)</f>
        <v>1348400</v>
      </c>
      <c r="F1014" s="11"/>
      <c r="G1014" s="11">
        <f ca="1">SUM(G14:G1013)</f>
        <v>1343400</v>
      </c>
      <c r="H1014" s="11"/>
      <c r="I1014" s="11"/>
      <c r="J1014" s="11"/>
      <c r="K1014" s="11"/>
      <c r="L1014" s="11"/>
      <c r="M1014" s="11"/>
      <c r="N1014" s="11"/>
      <c r="O1014" s="11"/>
      <c r="T1014" s="23">
        <f ca="1">SUM(T14:T1013)</f>
        <v>817400</v>
      </c>
    </row>
  </sheetData>
  <mergeCells count="2">
    <mergeCell ref="K12:O12"/>
    <mergeCell ref="P12:T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1.표작성</vt:lpstr>
      <vt:lpstr>10.1</vt:lpstr>
      <vt:lpstr>10.2</vt:lpstr>
      <vt:lpstr>10.5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1007</dc:creator>
  <cp:lastModifiedBy>김형제</cp:lastModifiedBy>
  <dcterms:created xsi:type="dcterms:W3CDTF">2015-06-05T18:19:34Z</dcterms:created>
  <dcterms:modified xsi:type="dcterms:W3CDTF">2026-05-07T09:13:06Z</dcterms:modified>
</cp:coreProperties>
</file>